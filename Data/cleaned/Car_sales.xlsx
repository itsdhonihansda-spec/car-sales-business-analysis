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Car-Sales-Analysis\data\cleaned\"/>
    </mc:Choice>
  </mc:AlternateContent>
  <xr:revisionPtr revIDLastSave="0" documentId="13_ncr:1_{E59D025B-5073-4FC3-B66B-E56F8306048F}" xr6:coauthVersionLast="47" xr6:coauthVersionMax="47" xr10:uidLastSave="{00000000-0000-0000-0000-000000000000}"/>
  <bookViews>
    <workbookView xWindow="-108" yWindow="-108" windowWidth="23256" windowHeight="13176" activeTab="4" xr2:uid="{43647843-1222-4844-9DE2-3FFA0F7681EF}"/>
  </bookViews>
  <sheets>
    <sheet name="Car_sales" sheetId="1" r:id="rId1"/>
    <sheet name="Car_sales_Cleaned" sheetId="3" r:id="rId2"/>
    <sheet name="Cleaning_Log" sheetId="4" r:id="rId3"/>
    <sheet name="EDA" sheetId="5" r:id="rId4"/>
    <sheet name="EDA Dashboard" sheetId="6" r:id="rId5"/>
  </sheets>
  <definedNames>
    <definedName name="_xlnm._FilterDatabase" localSheetId="0" hidden="1">Car_sales!$A$1:$P$158</definedName>
    <definedName name="_xlnm._FilterDatabase" localSheetId="1" hidden="1">Car_sales_Cleaned!$A$1:$P$158</definedName>
    <definedName name="_xlchart.v1.0" hidden="1">Car_sales_Cleaned!$F$2:$F$158</definedName>
    <definedName name="_xlchart.v1.1" hidden="1">Car_sales_Cleaned!$F$2:$F$158</definedName>
    <definedName name="_xlchart.v1.2" hidden="1">Car_sales_Cleaned!$F$2:$F$158</definedName>
    <definedName name="_xlchart.v1.3" hidden="1">Car_sales_Cleaned!$F$2:$F$158</definedName>
    <definedName name="_xlcn.WorksheetConnection_Car_sales.xlsxCarSales1" hidden="1">CarSales[]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FCE2AD5D-F65C-4FA6-A056-5C36A1767C68}">
      <x15:dataModel>
        <x15:modelTables>
          <x15:modelTable id="CarSales" name="CarSales" connection="WorksheetConnection_Car_sales.xlsx!Car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S5" i="3"/>
  <c r="L17" i="3"/>
  <c r="L35" i="3"/>
  <c r="K35" i="3"/>
  <c r="J35" i="3"/>
  <c r="I35" i="3"/>
  <c r="H35" i="3"/>
  <c r="G35" i="3"/>
  <c r="F4" i="3"/>
  <c r="F35" i="3"/>
  <c r="M35" i="3"/>
  <c r="N35" i="3"/>
  <c r="N40" i="3"/>
  <c r="N111" i="3"/>
  <c r="P4" i="3"/>
  <c r="P35" i="3"/>
  <c r="U10" i="3"/>
  <c r="D158" i="3"/>
  <c r="D157" i="3"/>
  <c r="D156" i="3"/>
  <c r="D155" i="3"/>
  <c r="D154" i="3"/>
  <c r="D153" i="3"/>
  <c r="D152" i="3"/>
  <c r="D135" i="3"/>
  <c r="D134" i="3"/>
  <c r="D130" i="3"/>
  <c r="D137" i="3" s="1"/>
  <c r="D129" i="3"/>
  <c r="D136" i="3" s="1"/>
  <c r="D143" i="3" s="1"/>
  <c r="D125" i="3"/>
  <c r="D112" i="3"/>
  <c r="D119" i="3" s="1"/>
  <c r="D111" i="3"/>
  <c r="D109" i="3"/>
  <c r="D108" i="3"/>
  <c r="D102" i="3"/>
  <c r="D101" i="3"/>
  <c r="D100" i="3"/>
  <c r="D99" i="3"/>
  <c r="D98" i="3"/>
  <c r="D80" i="3"/>
  <c r="D77" i="3"/>
  <c r="D76" i="3"/>
  <c r="D74" i="3"/>
  <c r="D68" i="3"/>
  <c r="D52" i="3"/>
  <c r="D46" i="3"/>
  <c r="D29" i="3"/>
  <c r="D36" i="3" s="1"/>
  <c r="D20" i="3"/>
  <c r="D9" i="3"/>
  <c r="S15" i="3"/>
  <c r="S18" i="3"/>
  <c r="U14" i="3" l="1"/>
  <c r="T14" i="3"/>
  <c r="S14" i="3"/>
  <c r="U13" i="3"/>
  <c r="T13" i="3"/>
  <c r="S13" i="3"/>
  <c r="U12" i="3"/>
  <c r="T12" i="3"/>
  <c r="S12" i="3"/>
  <c r="U11" i="3"/>
  <c r="T11" i="3"/>
  <c r="S11" i="3"/>
  <c r="T10" i="3"/>
  <c r="S10" i="3"/>
  <c r="U16" i="3"/>
  <c r="T16" i="3"/>
  <c r="S16" i="3"/>
  <c r="U15" i="3"/>
  <c r="T15" i="3"/>
  <c r="U19" i="3"/>
  <c r="T19" i="3"/>
  <c r="S19" i="3"/>
  <c r="U9" i="3"/>
  <c r="T9" i="3"/>
  <c r="S9" i="3"/>
  <c r="U8" i="3"/>
  <c r="T8" i="3"/>
  <c r="S8" i="3"/>
  <c r="U17" i="3"/>
  <c r="T17" i="3"/>
  <c r="S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E0723E-2767-4728-A50E-648DABCA8A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907729B-AFC8-4E64-9EB6-29C15AC339E5}" name="WorksheetConnection_Car_sales.xlsx!CarSales" type="102" refreshedVersion="8" minRefreshableVersion="5">
    <extLst>
      <ext xmlns:x15="http://schemas.microsoft.com/office/spreadsheetml/2010/11/main" uri="{DE250136-89BD-433C-8126-D09CA5730AF9}">
        <x15:connection id="CarSales" autoDelete="1">
          <x15:rangePr sourceName="_xlcn.WorksheetConnection_Car_sales.xlsxCarSales1"/>
        </x15:connection>
      </ext>
    </extLst>
  </connection>
</connections>
</file>

<file path=xl/sharedStrings.xml><?xml version="1.0" encoding="utf-8"?>
<sst xmlns="http://schemas.openxmlformats.org/spreadsheetml/2006/main" count="1163" uniqueCount="216">
  <si>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</si>
  <si>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</si>
  <si>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</si>
  <si>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</si>
  <si>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</si>
  <si>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</si>
  <si>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</si>
  <si>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</si>
  <si>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</si>
  <si>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</si>
  <si>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</si>
  <si>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</si>
  <si>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</si>
  <si>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</si>
  <si>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</si>
  <si>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</si>
  <si>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</si>
  <si>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</si>
  <si>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</si>
  <si>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</si>
  <si>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</si>
  <si>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</si>
  <si>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</si>
  <si>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</si>
  <si>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</si>
  <si>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</si>
  <si>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</si>
  <si>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</si>
  <si>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</si>
  <si>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</si>
  <si>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</si>
  <si>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</si>
  <si>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</si>
  <si>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</si>
  <si>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</si>
  <si>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</si>
  <si>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</si>
  <si>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</si>
  <si>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</si>
  <si>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</si>
  <si>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</si>
  <si>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</si>
  <si>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</si>
  <si>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</si>
  <si>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</si>
  <si>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</si>
  <si>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</si>
  <si>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</si>
  <si>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</si>
  <si>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</si>
  <si>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</si>
  <si>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</si>
  <si>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</si>
  <si>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</si>
  <si>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</si>
  <si>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</si>
  <si>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</si>
  <si>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</si>
  <si>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</si>
  <si>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</si>
  <si>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</si>
  <si>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</si>
  <si>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</si>
  <si>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</si>
  <si>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</si>
  <si>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</si>
  <si>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</si>
  <si>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</si>
  <si>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</si>
  <si>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</si>
  <si>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</si>
  <si>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</si>
  <si>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</si>
  <si>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</si>
  <si>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</si>
  <si>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</si>
  <si>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</si>
  <si>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</si>
  <si>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</si>
  <si>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</si>
  <si>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</si>
  <si>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</si>
  <si>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</si>
  <si>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</si>
  <si>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</si>
  <si>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</si>
  <si>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</si>
  <si>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</si>
  <si>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</si>
  <si>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</si>
  <si>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</si>
  <si>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</si>
  <si>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</si>
  <si>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</si>
  <si>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</si>
  <si>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</si>
  <si>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</si>
  <si>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</si>
  <si>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</si>
  <si>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</si>
  <si>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</si>
  <si>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</si>
  <si>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</si>
  <si>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</si>
  <si>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</si>
  <si>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</si>
  <si>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</si>
  <si>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</si>
  <si>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</si>
  <si>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</si>
  <si>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</si>
  <si>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</si>
  <si>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</si>
  <si>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</si>
  <si>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</si>
  <si>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</si>
  <si>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</si>
  <si>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</si>
  <si>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</si>
  <si>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</si>
  <si>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</si>
  <si>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</si>
  <si>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</si>
  <si>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</si>
  <si>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</si>
  <si>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</si>
  <si>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</si>
  <si>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</si>
  <si>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</si>
  <si>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</si>
  <si>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</si>
  <si>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</si>
  <si>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</si>
  <si>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</si>
  <si>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</si>
  <si>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</si>
  <si>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</si>
  <si>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</si>
  <si>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</si>
  <si>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</si>
  <si>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</si>
  <si>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</si>
  <si>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</si>
  <si>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</si>
  <si>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</si>
  <si>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</si>
  <si>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</si>
  <si>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</si>
  <si>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</si>
  <si>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</si>
  <si>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</si>
  <si>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</si>
  <si>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</si>
  <si>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</si>
  <si>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</si>
  <si>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</si>
  <si>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</si>
  <si>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</si>
  <si>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</si>
  <si>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</si>
  <si>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</si>
  <si>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</si>
  <si>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</si>
  <si>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</si>
  <si>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</si>
  <si>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</si>
  <si>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</si>
  <si>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</si>
  <si>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</si>
  <si>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</si>
  <si>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</si>
  <si>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</si>
  <si>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</si>
  <si>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</si>
  <si>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</si>
  <si>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</si>
  <si>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</si>
  <si>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</si>
  <si>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</si>
  <si>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</si>
  <si>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</si>
  <si>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</si>
  <si>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</si>
  <si>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</si>
  <si>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</si>
  <si>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</si>
  <si>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</si>
  <si>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</si>
  <si>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</si>
  <si>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</si>
  <si>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</si>
  <si>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</si>
  <si>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</si>
  <si>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</si>
  <si>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</si>
  <si>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</si>
  <si>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</si>
  <si>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</si>
  <si>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</si>
  <si>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</si>
  <si>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</si>
  <si>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</si>
  <si>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Year_resale_value</t>
  </si>
  <si>
    <t>total blank value</t>
  </si>
  <si>
    <t>Column</t>
  </si>
  <si>
    <t>Blank Count</t>
  </si>
  <si>
    <t>Median</t>
  </si>
  <si>
    <t>Mean</t>
  </si>
  <si>
    <t>Total Records</t>
  </si>
  <si>
    <t>Sum of Sales_in_thousands</t>
  </si>
  <si>
    <t>Row Labels</t>
  </si>
  <si>
    <t>Grand Total</t>
  </si>
  <si>
    <t>Average of Price_in_thousands</t>
  </si>
  <si>
    <t>Average of Horsepower</t>
  </si>
  <si>
    <t>Average of Fuel_efficiency</t>
  </si>
  <si>
    <t>KPI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</si>
</sst>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Arial Black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vertical="center" wrapText="1"/>
    </xf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left"/>
    </xf>
    <xf numFmtId="0" fontId="18" fillId="34" borderId="0" xfId="0" applyFont="1" applyFill="1" applyAlignment="1">
      <alignment horizontal="center" vertical="center"/>
    </xf>
    <xf numFmtId="0" fontId="0" fillId="35" borderId="0" xfId="0" applyFill="1"/>
    <xf numFmtId="0" fontId="0" fillId="3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[Car_sales.xlsx]EDA!PivotTable2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EDA!$A$11:$A$41</c:f>
              <c:strCache>
                <c:ptCount val="30"/>
                <c:pt idx="0">
                  <c:v>Ford</c:v>
                </c:pt>
                <c:pt idx="1">
                  <c:v>Dodge</c:v>
                </c:pt>
                <c:pt idx="2">
                  <c:v>Toyota</c:v>
                </c:pt>
                <c:pt idx="3">
                  <c:v>Honda</c:v>
                </c:pt>
                <c:pt idx="4">
                  <c:v>Chevrolet</c:v>
                </c:pt>
                <c:pt idx="5">
                  <c:v>Nissan</c:v>
                </c:pt>
                <c:pt idx="6">
                  <c:v>Pontiac</c:v>
                </c:pt>
                <c:pt idx="7">
                  <c:v>Jeep</c:v>
                </c:pt>
                <c:pt idx="8">
                  <c:v>Buick</c:v>
                </c:pt>
                <c:pt idx="9">
                  <c:v>Mercury</c:v>
                </c:pt>
                <c:pt idx="10">
                  <c:v>Volkswagen</c:v>
                </c:pt>
                <c:pt idx="11">
                  <c:v>Chrysler</c:v>
                </c:pt>
                <c:pt idx="12">
                  <c:v>Mitsubishi</c:v>
                </c:pt>
                <c:pt idx="13">
                  <c:v>Oldsmobile</c:v>
                </c:pt>
                <c:pt idx="14">
                  <c:v>Saturn</c:v>
                </c:pt>
                <c:pt idx="15">
                  <c:v>Hyundai</c:v>
                </c:pt>
                <c:pt idx="16">
                  <c:v>Mercedes-B</c:v>
                </c:pt>
                <c:pt idx="17">
                  <c:v>Cadillac</c:v>
                </c:pt>
                <c:pt idx="18">
                  <c:v>Lexus</c:v>
                </c:pt>
                <c:pt idx="19">
                  <c:v>Lincoln</c:v>
                </c:pt>
                <c:pt idx="20">
                  <c:v>Subaru</c:v>
                </c:pt>
                <c:pt idx="21">
                  <c:v>Acura</c:v>
                </c:pt>
                <c:pt idx="22">
                  <c:v>Volvo</c:v>
                </c:pt>
                <c:pt idx="23">
                  <c:v>Plymouth</c:v>
                </c:pt>
                <c:pt idx="24">
                  <c:v>BMW</c:v>
                </c:pt>
                <c:pt idx="25">
                  <c:v>Audi</c:v>
                </c:pt>
                <c:pt idx="26">
                  <c:v>Infiniti</c:v>
                </c:pt>
                <c:pt idx="27">
                  <c:v>Saab</c:v>
                </c:pt>
                <c:pt idx="28">
                  <c:v>Jaguar</c:v>
                </c:pt>
                <c:pt idx="29">
                  <c:v>Porsche</c:v>
                </c:pt>
              </c:strCache>
            </c:strRef>
          </c:cat>
          <c:val>
            <c:numRef>
              <c:f>EDA!$B$11:$B$41</c:f>
              <c:numCache>
                <c:formatCode>General</c:formatCode>
                <c:ptCount val="30"/>
                <c:pt idx="0">
                  <c:v>2022.635</c:v>
                </c:pt>
                <c:pt idx="1">
                  <c:v>910.149</c:v>
                </c:pt>
                <c:pt idx="2">
                  <c:v>740.20500000000004</c:v>
                </c:pt>
                <c:pt idx="3">
                  <c:v>592.67399999999998</c:v>
                </c:pt>
                <c:pt idx="4">
                  <c:v>554.36500000000001</c:v>
                </c:pt>
                <c:pt idx="5">
                  <c:v>399.63499999999999</c:v>
                </c:pt>
                <c:pt idx="6">
                  <c:v>370.53399999999999</c:v>
                </c:pt>
                <c:pt idx="7">
                  <c:v>293.15300000000002</c:v>
                </c:pt>
                <c:pt idx="8">
                  <c:v>242.01900000000001</c:v>
                </c:pt>
                <c:pt idx="9">
                  <c:v>237.999</c:v>
                </c:pt>
                <c:pt idx="10">
                  <c:v>209.21199999999999</c:v>
                </c:pt>
                <c:pt idx="11">
                  <c:v>201.721</c:v>
                </c:pt>
                <c:pt idx="12">
                  <c:v>180.89500000000001</c:v>
                </c:pt>
                <c:pt idx="13">
                  <c:v>178.989</c:v>
                </c:pt>
                <c:pt idx="14">
                  <c:v>168.85</c:v>
                </c:pt>
                <c:pt idx="15">
                  <c:v>137.32599999999999</c:v>
                </c:pt>
                <c:pt idx="16">
                  <c:v>117.125</c:v>
                </c:pt>
                <c:pt idx="17">
                  <c:v>112.178</c:v>
                </c:pt>
                <c:pt idx="18">
                  <c:v>106.843</c:v>
                </c:pt>
                <c:pt idx="19">
                  <c:v>85.634</c:v>
                </c:pt>
                <c:pt idx="20">
                  <c:v>80.135000000000005</c:v>
                </c:pt>
                <c:pt idx="21">
                  <c:v>79.004999999999995</c:v>
                </c:pt>
                <c:pt idx="22">
                  <c:v>75.739999999999995</c:v>
                </c:pt>
                <c:pt idx="23">
                  <c:v>64.001000000000005</c:v>
                </c:pt>
                <c:pt idx="24">
                  <c:v>46.505000000000003</c:v>
                </c:pt>
                <c:pt idx="25">
                  <c:v>40.557000000000002</c:v>
                </c:pt>
                <c:pt idx="26">
                  <c:v>23.713000000000001</c:v>
                </c:pt>
                <c:pt idx="27">
                  <c:v>21.306000000000001</c:v>
                </c:pt>
                <c:pt idx="28">
                  <c:v>15.467000000000001</c:v>
                </c:pt>
                <c:pt idx="29">
                  <c:v>12.128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E-406C-948C-613932D64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075967"/>
        <c:axId val="1538414639"/>
      </c:barChart>
      <c:catAx>
        <c:axId val="177307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14639"/>
        <c:crosses val="autoZero"/>
        <c:auto val="1"/>
        <c:lblAlgn val="ctr"/>
        <c:lblOffset val="100"/>
        <c:noMultiLvlLbl val="0"/>
      </c:catAx>
      <c:valAx>
        <c:axId val="15384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7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[Car_sales.xlsx]EDA!PivotTable3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Selling Price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EDA!$D$11:$D$13</c:f>
              <c:strCache>
                <c:ptCount val="2"/>
                <c:pt idx="0">
                  <c:v>Car</c:v>
                </c:pt>
                <c:pt idx="1">
                  <c:v>Passenger</c:v>
                </c:pt>
              </c:strCache>
            </c:strRef>
          </c:cat>
          <c:val>
            <c:numRef>
              <c:f>EDA!$E$11:$E$13</c:f>
              <c:numCache>
                <c:formatCode>0.00</c:formatCode>
                <c:ptCount val="2"/>
                <c:pt idx="0">
                  <c:v>26.23412195121951</c:v>
                </c:pt>
                <c:pt idx="1">
                  <c:v>27.72041379310345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E-49FB-9F4F-B42725E5A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404639"/>
        <c:axId val="2024623279"/>
      </c:barChart>
      <c:catAx>
        <c:axId val="201640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23279"/>
        <c:crosses val="autoZero"/>
        <c:auto val="1"/>
        <c:lblAlgn val="ctr"/>
        <c:lblOffset val="100"/>
        <c:noMultiLvlLbl val="0"/>
      </c:catAx>
      <c:valAx>
        <c:axId val="20246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[Car_sales.xlsx]EDA!PivotTable7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EDA!$H$10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10-4318-B55E-E63B9D9F4E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10-4318-B55E-E63B9D9F4E9E}"/>
              </c:ext>
            </c:extLst>
          </c:dPt>
          <c:cat>
            <c:strRef>
              <c:f>EDA!$G$11:$G$13</c:f>
              <c:strCache>
                <c:ptCount val="2"/>
                <c:pt idx="0">
                  <c:v>Passenger</c:v>
                </c:pt>
                <c:pt idx="1">
                  <c:v>Car</c:v>
                </c:pt>
              </c:strCache>
            </c:strRef>
          </c:cat>
          <c:val>
            <c:numRef>
              <c:f>EDA!$H$11:$H$13</c:f>
              <c:numCache>
                <c:formatCode>General</c:formatCode>
                <c:ptCount val="2"/>
                <c:pt idx="0">
                  <c:v>5015.1840000000002</c:v>
                </c:pt>
                <c:pt idx="1">
                  <c:v>3305.5140000000001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C-4FAA-949A-607650FFA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[Car_sales.xlsx]EDA!PivotTable8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Horsepower by Manufacturer</a:t>
            </a:r>
          </a:p>
        </c:rich>
      </c:tx>
      <c:layout>
        <c:manualLayout>
          <c:xMode val="edge"/>
          <c:yMode val="edge"/>
          <c:x val="0.22597922134733159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EDA!$K$10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EDA!$J$11:$J$41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EDA!$K$11:$K$41</c:f>
              <c:numCache>
                <c:formatCode>0.00</c:formatCode>
                <c:ptCount val="30"/>
                <c:pt idx="0">
                  <c:v>200</c:v>
                </c:pt>
                <c:pt idx="1">
                  <c:v>220</c:v>
                </c:pt>
                <c:pt idx="2">
                  <c:v>185.33333333333334</c:v>
                </c:pt>
                <c:pt idx="3">
                  <c:v>206.25</c:v>
                </c:pt>
                <c:pt idx="4">
                  <c:v>256</c:v>
                </c:pt>
                <c:pt idx="5">
                  <c:v>171.11111111111111</c:v>
                </c:pt>
                <c:pt idx="6">
                  <c:v>192.35714285714286</c:v>
                </c:pt>
                <c:pt idx="7">
                  <c:v>199.54545454545453</c:v>
                </c:pt>
                <c:pt idx="8">
                  <c:v>170.09090909090909</c:v>
                </c:pt>
                <c:pt idx="9">
                  <c:v>160.4</c:v>
                </c:pt>
                <c:pt idx="10">
                  <c:v>126.66666666666667</c:v>
                </c:pt>
                <c:pt idx="11">
                  <c:v>227</c:v>
                </c:pt>
                <c:pt idx="12">
                  <c:v>240</c:v>
                </c:pt>
                <c:pt idx="13">
                  <c:v>168.33333333333334</c:v>
                </c:pt>
                <c:pt idx="14">
                  <c:v>245.83333333333334</c:v>
                </c:pt>
                <c:pt idx="15">
                  <c:v>263.33333333333331</c:v>
                </c:pt>
                <c:pt idx="16">
                  <c:v>232.22222222222223</c:v>
                </c:pt>
                <c:pt idx="17">
                  <c:v>163.83333333333334</c:v>
                </c:pt>
                <c:pt idx="18">
                  <c:v>165.14285714285714</c:v>
                </c:pt>
                <c:pt idx="19">
                  <c:v>169</c:v>
                </c:pt>
                <c:pt idx="20">
                  <c:v>190</c:v>
                </c:pt>
                <c:pt idx="21">
                  <c:v>166.75</c:v>
                </c:pt>
                <c:pt idx="22">
                  <c:v>185</c:v>
                </c:pt>
                <c:pt idx="23">
                  <c:v>272.33333333333331</c:v>
                </c:pt>
                <c:pt idx="24">
                  <c:v>177.5</c:v>
                </c:pt>
                <c:pt idx="25">
                  <c:v>119.6</c:v>
                </c:pt>
                <c:pt idx="26">
                  <c:v>165</c:v>
                </c:pt>
                <c:pt idx="27">
                  <c:v>160.66666666666666</c:v>
                </c:pt>
                <c:pt idx="28">
                  <c:v>120.83333333333333</c:v>
                </c:pt>
                <c:pt idx="29">
                  <c:v>182.16666666666666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D04-B021-D64F93B9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898719"/>
        <c:axId val="2024605999"/>
      </c:barChart>
      <c:catAx>
        <c:axId val="202589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05999"/>
        <c:crosses val="autoZero"/>
        <c:auto val="1"/>
        <c:lblAlgn val="ctr"/>
        <c:lblOffset val="100"/>
        <c:noMultiLvlLbl val="0"/>
      </c:catAx>
      <c:valAx>
        <c:axId val="202460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89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[Car_sales.xlsx]EDA!PivotTable9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Fuel Efficiency by Manufacturer</a:t>
            </a:r>
          </a:p>
        </c:rich>
      </c:tx>
      <c:layout>
        <c:manualLayout>
          <c:xMode val="edge"/>
          <c:yMode val="edge"/>
          <c:x val="0.179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EDA!$N$10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EDA!$M$11:$M$41</c:f>
              <c:strCache>
                <c:ptCount val="30"/>
                <c:pt idx="0">
                  <c:v>Saturn</c:v>
                </c:pt>
                <c:pt idx="1">
                  <c:v>Chevrolet</c:v>
                </c:pt>
                <c:pt idx="2">
                  <c:v>Hyundai</c:v>
                </c:pt>
                <c:pt idx="3">
                  <c:v>Volkswagen</c:v>
                </c:pt>
                <c:pt idx="4">
                  <c:v>Plymouth</c:v>
                </c:pt>
                <c:pt idx="5">
                  <c:v>Acura</c:v>
                </c:pt>
                <c:pt idx="6">
                  <c:v>Toyota</c:v>
                </c:pt>
                <c:pt idx="7">
                  <c:v>BMW</c:v>
                </c:pt>
                <c:pt idx="8">
                  <c:v>Honda</c:v>
                </c:pt>
                <c:pt idx="9">
                  <c:v>Infiniti</c:v>
                </c:pt>
                <c:pt idx="10">
                  <c:v>Pontiac</c:v>
                </c:pt>
                <c:pt idx="11">
                  <c:v>Subaru</c:v>
                </c:pt>
                <c:pt idx="12">
                  <c:v>Volvo</c:v>
                </c:pt>
                <c:pt idx="13">
                  <c:v>Chrysler</c:v>
                </c:pt>
                <c:pt idx="14">
                  <c:v>Buick</c:v>
                </c:pt>
                <c:pt idx="15">
                  <c:v>Mercury</c:v>
                </c:pt>
                <c:pt idx="16">
                  <c:v>Mercedes-B</c:v>
                </c:pt>
                <c:pt idx="17">
                  <c:v>Audi</c:v>
                </c:pt>
                <c:pt idx="18">
                  <c:v>Oldsmobile</c:v>
                </c:pt>
                <c:pt idx="19">
                  <c:v>Saab</c:v>
                </c:pt>
                <c:pt idx="20">
                  <c:v>Mitsubishi</c:v>
                </c:pt>
                <c:pt idx="21">
                  <c:v>Ford</c:v>
                </c:pt>
                <c:pt idx="22">
                  <c:v>Nissan</c:v>
                </c:pt>
                <c:pt idx="23">
                  <c:v>Porsche</c:v>
                </c:pt>
                <c:pt idx="24">
                  <c:v>Jaguar</c:v>
                </c:pt>
                <c:pt idx="25">
                  <c:v>Lexus</c:v>
                </c:pt>
                <c:pt idx="26">
                  <c:v>Cadillac</c:v>
                </c:pt>
                <c:pt idx="27">
                  <c:v>Dodge</c:v>
                </c:pt>
                <c:pt idx="28">
                  <c:v>Lincoln</c:v>
                </c:pt>
                <c:pt idx="29">
                  <c:v>Jeep</c:v>
                </c:pt>
              </c:strCache>
            </c:strRef>
          </c:cat>
          <c:val>
            <c:numRef>
              <c:f>EDA!$N$11:$N$41</c:f>
              <c:numCache>
                <c:formatCode>0.00</c:formatCode>
                <c:ptCount val="30"/>
                <c:pt idx="0">
                  <c:v>30.4</c:v>
                </c:pt>
                <c:pt idx="1">
                  <c:v>28.444444444444443</c:v>
                </c:pt>
                <c:pt idx="2">
                  <c:v>27.666666666666668</c:v>
                </c:pt>
                <c:pt idx="3">
                  <c:v>26.166666666666668</c:v>
                </c:pt>
                <c:pt idx="4">
                  <c:v>25.25</c:v>
                </c:pt>
                <c:pt idx="5">
                  <c:v>25.25</c:v>
                </c:pt>
                <c:pt idx="6">
                  <c:v>25.222222222222221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24.833333333333332</c:v>
                </c:pt>
                <c:pt idx="11">
                  <c:v>24.5</c:v>
                </c:pt>
                <c:pt idx="12">
                  <c:v>24.5</c:v>
                </c:pt>
                <c:pt idx="13">
                  <c:v>24.428571428571427</c:v>
                </c:pt>
                <c:pt idx="14">
                  <c:v>24.25</c:v>
                </c:pt>
                <c:pt idx="15">
                  <c:v>23.666666666666668</c:v>
                </c:pt>
                <c:pt idx="16">
                  <c:v>23.444444444444443</c:v>
                </c:pt>
                <c:pt idx="17">
                  <c:v>23.333333333333332</c:v>
                </c:pt>
                <c:pt idx="18">
                  <c:v>23.166666666666668</c:v>
                </c:pt>
                <c:pt idx="19">
                  <c:v>23</c:v>
                </c:pt>
                <c:pt idx="20">
                  <c:v>22.857142857142858</c:v>
                </c:pt>
                <c:pt idx="21">
                  <c:v>22.818181818181817</c:v>
                </c:pt>
                <c:pt idx="22">
                  <c:v>22.285714285714285</c:v>
                </c:pt>
                <c:pt idx="23">
                  <c:v>22</c:v>
                </c:pt>
                <c:pt idx="24">
                  <c:v>21</c:v>
                </c:pt>
                <c:pt idx="25">
                  <c:v>20.833333333333332</c:v>
                </c:pt>
                <c:pt idx="26">
                  <c:v>20.6</c:v>
                </c:pt>
                <c:pt idx="27">
                  <c:v>20.454545454545453</c:v>
                </c:pt>
                <c:pt idx="28">
                  <c:v>19.333333333333332</c:v>
                </c:pt>
                <c:pt idx="29">
                  <c:v>18.666666666666668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5-486C-927A-D91EBEDA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9899231"/>
        <c:axId val="2024600239"/>
      </c:barChart>
      <c:catAx>
        <c:axId val="205989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00239"/>
        <c:crosses val="autoZero"/>
        <c:auto val="1"/>
        <c:lblAlgn val="ctr"/>
        <c:lblOffset val="100"/>
        <c:noMultiLvlLbl val="0"/>
      </c:catAx>
      <c:valAx>
        <c:axId val="202460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9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[Car_sales.xlsx]EDA!PivotTable10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by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EDA!$S$9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EDA!$R$10:$R$40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EDA!$S$10:$S$40</c:f>
              <c:numCache>
                <c:formatCode>0.00</c:formatCode>
                <c:ptCount val="30"/>
                <c:pt idx="0">
                  <c:v>28.675000000000001</c:v>
                </c:pt>
                <c:pt idx="1">
                  <c:v>39.979999999999997</c:v>
                </c:pt>
                <c:pt idx="2">
                  <c:v>33.096666666666671</c:v>
                </c:pt>
                <c:pt idx="3">
                  <c:v>26.78125</c:v>
                </c:pt>
                <c:pt idx="4">
                  <c:v>40.254000000000005</c:v>
                </c:pt>
                <c:pt idx="5">
                  <c:v>20.02277777777778</c:v>
                </c:pt>
                <c:pt idx="6">
                  <c:v>23.340714285714284</c:v>
                </c:pt>
                <c:pt idx="7">
                  <c:v>24.213636363636365</c:v>
                </c:pt>
                <c:pt idx="8">
                  <c:v>21.047272727272727</c:v>
                </c:pt>
                <c:pt idx="9">
                  <c:v>20.277000000000001</c:v>
                </c:pt>
                <c:pt idx="10">
                  <c:v>12.165666666666667</c:v>
                </c:pt>
                <c:pt idx="11">
                  <c:v>29.465</c:v>
                </c:pt>
                <c:pt idx="12">
                  <c:v>42.8</c:v>
                </c:pt>
                <c:pt idx="13">
                  <c:v>20.991666666666667</c:v>
                </c:pt>
                <c:pt idx="14">
                  <c:v>44.055</c:v>
                </c:pt>
                <c:pt idx="15">
                  <c:v>41.69</c:v>
                </c:pt>
                <c:pt idx="16">
                  <c:v>52.916666666666664</c:v>
                </c:pt>
                <c:pt idx="17">
                  <c:v>20.748333333333331</c:v>
                </c:pt>
                <c:pt idx="18">
                  <c:v>22.167428571428569</c:v>
                </c:pt>
                <c:pt idx="19">
                  <c:v>22.360714285714288</c:v>
                </c:pt>
                <c:pt idx="20">
                  <c:v>25.622833333333332</c:v>
                </c:pt>
                <c:pt idx="21">
                  <c:v>22.642499999999998</c:v>
                </c:pt>
                <c:pt idx="22">
                  <c:v>22.949166666666667</c:v>
                </c:pt>
                <c:pt idx="23">
                  <c:v>62.473333333333329</c:v>
                </c:pt>
                <c:pt idx="24">
                  <c:v>29.61</c:v>
                </c:pt>
                <c:pt idx="25">
                  <c:v>14.271000000000001</c:v>
                </c:pt>
                <c:pt idx="26">
                  <c:v>21.395</c:v>
                </c:pt>
                <c:pt idx="27">
                  <c:v>21.98288888888889</c:v>
                </c:pt>
                <c:pt idx="28">
                  <c:v>17.698333333333334</c:v>
                </c:pt>
                <c:pt idx="29">
                  <c:v>30.933333333333334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B-4C14-9C3B-489E252FD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0092383"/>
        <c:axId val="2024657359"/>
        <c:axId val="0"/>
      </c:bar3DChart>
      <c:catAx>
        <c:axId val="165009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57359"/>
        <c:crosses val="autoZero"/>
        <c:auto val="1"/>
        <c:lblAlgn val="ctr"/>
        <c:lblOffset val="100"/>
        <c:noMultiLvlLbl val="0"/>
      </c:catAx>
      <c:valAx>
        <c:axId val="20246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vs Horsepower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Car_sales_Cleaned!$F$1</c:f>
              <c:strCache>
                <c:ptCount val="1"/>
                <c:pt idx="0">
                  <c:v>Price_in_thousands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Car_sales_Cleaned!$F$2:$F$158</c:f>
              <c:numCache>
                <c:formatCode>General</c:formatCode>
                <c:ptCount val="157"/>
                <c:pt idx="0">
                  <c:v>21.5</c:v>
                </c:pt>
                <c:pt idx="1">
                  <c:v>28.4</c:v>
                </c:pt>
                <c:pt idx="2" formatCode="0.00">
                  <c:v>22.8</c:v>
                </c:pt>
                <c:pt idx="3">
                  <c:v>42</c:v>
                </c:pt>
                <c:pt idx="4">
                  <c:v>23.99</c:v>
                </c:pt>
                <c:pt idx="5">
                  <c:v>33.950000000000003</c:v>
                </c:pt>
                <c:pt idx="6">
                  <c:v>62</c:v>
                </c:pt>
                <c:pt idx="7">
                  <c:v>26.99</c:v>
                </c:pt>
                <c:pt idx="8">
                  <c:v>33.4</c:v>
                </c:pt>
                <c:pt idx="9">
                  <c:v>38.9</c:v>
                </c:pt>
                <c:pt idx="10">
                  <c:v>21.975000000000001</c:v>
                </c:pt>
                <c:pt idx="11">
                  <c:v>25.3</c:v>
                </c:pt>
                <c:pt idx="12">
                  <c:v>31.965</c:v>
                </c:pt>
                <c:pt idx="13">
                  <c:v>27.885000000000002</c:v>
                </c:pt>
                <c:pt idx="14">
                  <c:v>39.895000000000003</c:v>
                </c:pt>
                <c:pt idx="15">
                  <c:v>44.475000000000001</c:v>
                </c:pt>
                <c:pt idx="16">
                  <c:v>39.664999999999999</c:v>
                </c:pt>
                <c:pt idx="17">
                  <c:v>31.01</c:v>
                </c:pt>
                <c:pt idx="18">
                  <c:v>46.225000000000001</c:v>
                </c:pt>
                <c:pt idx="19">
                  <c:v>13.26</c:v>
                </c:pt>
                <c:pt idx="20">
                  <c:v>16.535</c:v>
                </c:pt>
                <c:pt idx="21">
                  <c:v>18.89</c:v>
                </c:pt>
                <c:pt idx="22">
                  <c:v>19.39</c:v>
                </c:pt>
                <c:pt idx="23">
                  <c:v>24.34</c:v>
                </c:pt>
                <c:pt idx="24">
                  <c:v>45.704999999999998</c:v>
                </c:pt>
                <c:pt idx="25">
                  <c:v>13.96</c:v>
                </c:pt>
                <c:pt idx="26">
                  <c:v>9.2349999999999994</c:v>
                </c:pt>
                <c:pt idx="27">
                  <c:v>18.89</c:v>
                </c:pt>
                <c:pt idx="28">
                  <c:v>19.84</c:v>
                </c:pt>
                <c:pt idx="29">
                  <c:v>24.495000000000001</c:v>
                </c:pt>
                <c:pt idx="30">
                  <c:v>22.245000000000001</c:v>
                </c:pt>
                <c:pt idx="31">
                  <c:v>16.48</c:v>
                </c:pt>
                <c:pt idx="32">
                  <c:v>28.34</c:v>
                </c:pt>
                <c:pt idx="33">
                  <c:v>22.8</c:v>
                </c:pt>
                <c:pt idx="34">
                  <c:v>29.184999999999999</c:v>
                </c:pt>
                <c:pt idx="35">
                  <c:v>12.64</c:v>
                </c:pt>
                <c:pt idx="36">
                  <c:v>19.045000000000002</c:v>
                </c:pt>
                <c:pt idx="37">
                  <c:v>20.23</c:v>
                </c:pt>
                <c:pt idx="38">
                  <c:v>22.504999999999999</c:v>
                </c:pt>
                <c:pt idx="39">
                  <c:v>69.724999999999994</c:v>
                </c:pt>
                <c:pt idx="40">
                  <c:v>19.46</c:v>
                </c:pt>
                <c:pt idx="41">
                  <c:v>21.315000000000001</c:v>
                </c:pt>
                <c:pt idx="42">
                  <c:v>18.574999999999999</c:v>
                </c:pt>
                <c:pt idx="43">
                  <c:v>16.98</c:v>
                </c:pt>
                <c:pt idx="44">
                  <c:v>26.31</c:v>
                </c:pt>
                <c:pt idx="45">
                  <c:v>19.565000000000001</c:v>
                </c:pt>
                <c:pt idx="46">
                  <c:v>12.07</c:v>
                </c:pt>
                <c:pt idx="47">
                  <c:v>21.56</c:v>
                </c:pt>
                <c:pt idx="48">
                  <c:v>17.035</c:v>
                </c:pt>
                <c:pt idx="49">
                  <c:v>17.885000000000002</c:v>
                </c:pt>
                <c:pt idx="50">
                  <c:v>12.315</c:v>
                </c:pt>
                <c:pt idx="51">
                  <c:v>22.195</c:v>
                </c:pt>
                <c:pt idx="52">
                  <c:v>31.93</c:v>
                </c:pt>
                <c:pt idx="53">
                  <c:v>21.41</c:v>
                </c:pt>
                <c:pt idx="54">
                  <c:v>36.134999999999998</c:v>
                </c:pt>
                <c:pt idx="55">
                  <c:v>12.05</c:v>
                </c:pt>
                <c:pt idx="56">
                  <c:v>26.934999999999999</c:v>
                </c:pt>
                <c:pt idx="57">
                  <c:v>12.885</c:v>
                </c:pt>
                <c:pt idx="58">
                  <c:v>15.35</c:v>
                </c:pt>
                <c:pt idx="59">
                  <c:v>20.55</c:v>
                </c:pt>
                <c:pt idx="60">
                  <c:v>26.6</c:v>
                </c:pt>
                <c:pt idx="61">
                  <c:v>26</c:v>
                </c:pt>
                <c:pt idx="62">
                  <c:v>9.6989999999999998</c:v>
                </c:pt>
                <c:pt idx="63">
                  <c:v>11.798999999999999</c:v>
                </c:pt>
                <c:pt idx="64">
                  <c:v>14.999000000000001</c:v>
                </c:pt>
                <c:pt idx="65">
                  <c:v>29.465</c:v>
                </c:pt>
                <c:pt idx="66">
                  <c:v>42.8</c:v>
                </c:pt>
                <c:pt idx="67">
                  <c:v>14.46</c:v>
                </c:pt>
                <c:pt idx="68">
                  <c:v>21.62</c:v>
                </c:pt>
                <c:pt idx="69">
                  <c:v>26.895</c:v>
                </c:pt>
                <c:pt idx="70">
                  <c:v>31.504999999999999</c:v>
                </c:pt>
                <c:pt idx="71">
                  <c:v>37.805</c:v>
                </c:pt>
                <c:pt idx="72">
                  <c:v>46.305</c:v>
                </c:pt>
                <c:pt idx="73">
                  <c:v>54.005000000000003</c:v>
                </c:pt>
                <c:pt idx="74">
                  <c:v>60.104999999999997</c:v>
                </c:pt>
                <c:pt idx="75">
                  <c:v>34.604999999999997</c:v>
                </c:pt>
                <c:pt idx="76">
                  <c:v>39.08</c:v>
                </c:pt>
                <c:pt idx="77">
                  <c:v>43.33</c:v>
                </c:pt>
                <c:pt idx="78">
                  <c:v>42.66</c:v>
                </c:pt>
                <c:pt idx="79">
                  <c:v>13.987</c:v>
                </c:pt>
                <c:pt idx="80">
                  <c:v>19.047000000000001</c:v>
                </c:pt>
                <c:pt idx="81">
                  <c:v>17.356999999999999</c:v>
                </c:pt>
                <c:pt idx="82">
                  <c:v>24.997</c:v>
                </c:pt>
                <c:pt idx="83">
                  <c:v>25.45</c:v>
                </c:pt>
                <c:pt idx="84">
                  <c:v>31.806999999999999</c:v>
                </c:pt>
                <c:pt idx="85">
                  <c:v>22.527000000000001</c:v>
                </c:pt>
                <c:pt idx="86">
                  <c:v>16.239999999999998</c:v>
                </c:pt>
                <c:pt idx="87">
                  <c:v>16.54</c:v>
                </c:pt>
                <c:pt idx="88">
                  <c:v>19.035</c:v>
                </c:pt>
                <c:pt idx="89">
                  <c:v>22.605</c:v>
                </c:pt>
                <c:pt idx="90">
                  <c:v>27.56</c:v>
                </c:pt>
                <c:pt idx="91">
                  <c:v>22.51</c:v>
                </c:pt>
                <c:pt idx="92">
                  <c:v>31.75</c:v>
                </c:pt>
                <c:pt idx="93">
                  <c:v>49.9</c:v>
                </c:pt>
                <c:pt idx="94">
                  <c:v>69.7</c:v>
                </c:pt>
                <c:pt idx="95">
                  <c:v>82.6</c:v>
                </c:pt>
                <c:pt idx="96">
                  <c:v>38.9</c:v>
                </c:pt>
                <c:pt idx="97">
                  <c:v>41</c:v>
                </c:pt>
                <c:pt idx="98">
                  <c:v>41.6</c:v>
                </c:pt>
                <c:pt idx="99">
                  <c:v>85.5</c:v>
                </c:pt>
                <c:pt idx="100">
                  <c:v>35.299999999999997</c:v>
                </c:pt>
                <c:pt idx="101">
                  <c:v>13.499000000000001</c:v>
                </c:pt>
                <c:pt idx="102">
                  <c:v>20.39</c:v>
                </c:pt>
                <c:pt idx="103">
                  <c:v>26.248999999999999</c:v>
                </c:pt>
                <c:pt idx="104">
                  <c:v>26.399000000000001</c:v>
                </c:pt>
                <c:pt idx="105">
                  <c:v>29.298999999999999</c:v>
                </c:pt>
                <c:pt idx="106">
                  <c:v>22.798999999999999</c:v>
                </c:pt>
                <c:pt idx="107">
                  <c:v>17.89</c:v>
                </c:pt>
                <c:pt idx="108">
                  <c:v>18.145</c:v>
                </c:pt>
                <c:pt idx="109">
                  <c:v>24.15</c:v>
                </c:pt>
                <c:pt idx="110">
                  <c:v>18.27</c:v>
                </c:pt>
                <c:pt idx="111">
                  <c:v>36.228999999999999</c:v>
                </c:pt>
                <c:pt idx="112">
                  <c:v>31.597999999999999</c:v>
                </c:pt>
                <c:pt idx="113">
                  <c:v>25.344999999999999</c:v>
                </c:pt>
                <c:pt idx="114">
                  <c:v>12.64</c:v>
                </c:pt>
                <c:pt idx="115">
                  <c:v>16.079999999999998</c:v>
                </c:pt>
                <c:pt idx="116">
                  <c:v>18.850000000000001</c:v>
                </c:pt>
                <c:pt idx="117">
                  <c:v>43</c:v>
                </c:pt>
                <c:pt idx="118">
                  <c:v>21.61</c:v>
                </c:pt>
                <c:pt idx="119">
                  <c:v>19.72</c:v>
                </c:pt>
                <c:pt idx="120">
                  <c:v>25.31</c:v>
                </c:pt>
                <c:pt idx="121">
                  <c:v>21.664999999999999</c:v>
                </c:pt>
                <c:pt idx="122">
                  <c:v>23.754999999999999</c:v>
                </c:pt>
                <c:pt idx="123">
                  <c:v>25.635000000000002</c:v>
                </c:pt>
                <c:pt idx="124">
                  <c:v>41.43</c:v>
                </c:pt>
                <c:pt idx="125">
                  <c:v>71.02</c:v>
                </c:pt>
                <c:pt idx="126">
                  <c:v>74.97</c:v>
                </c:pt>
                <c:pt idx="127">
                  <c:v>33.119999999999997</c:v>
                </c:pt>
                <c:pt idx="128">
                  <c:v>26.1</c:v>
                </c:pt>
                <c:pt idx="129">
                  <c:v>10.685</c:v>
                </c:pt>
                <c:pt idx="130">
                  <c:v>12.535</c:v>
                </c:pt>
                <c:pt idx="131">
                  <c:v>14.29</c:v>
                </c:pt>
                <c:pt idx="132">
                  <c:v>18.835000000000001</c:v>
                </c:pt>
                <c:pt idx="133">
                  <c:v>15.01</c:v>
                </c:pt>
                <c:pt idx="134">
                  <c:v>22.695</c:v>
                </c:pt>
                <c:pt idx="135">
                  <c:v>20.094999999999999</c:v>
                </c:pt>
                <c:pt idx="136">
                  <c:v>13.108000000000001</c:v>
                </c:pt>
                <c:pt idx="137">
                  <c:v>17.518000000000001</c:v>
                </c:pt>
                <c:pt idx="138">
                  <c:v>25.545000000000002</c:v>
                </c:pt>
                <c:pt idx="139">
                  <c:v>16.875</c:v>
                </c:pt>
                <c:pt idx="140">
                  <c:v>11.528</c:v>
                </c:pt>
                <c:pt idx="141">
                  <c:v>22.367999999999999</c:v>
                </c:pt>
                <c:pt idx="142">
                  <c:v>16.888000000000002</c:v>
                </c:pt>
                <c:pt idx="143">
                  <c:v>22.288</c:v>
                </c:pt>
                <c:pt idx="144">
                  <c:v>51.728000000000002</c:v>
                </c:pt>
                <c:pt idx="145">
                  <c:v>14.9</c:v>
                </c:pt>
                <c:pt idx="146">
                  <c:v>16.7</c:v>
                </c:pt>
                <c:pt idx="147">
                  <c:v>21.2</c:v>
                </c:pt>
                <c:pt idx="148">
                  <c:v>19.989999999999998</c:v>
                </c:pt>
                <c:pt idx="149">
                  <c:v>17.5</c:v>
                </c:pt>
                <c:pt idx="150">
                  <c:v>15.9</c:v>
                </c:pt>
                <c:pt idx="151">
                  <c:v>23.4</c:v>
                </c:pt>
                <c:pt idx="152">
                  <c:v>24.4</c:v>
                </c:pt>
                <c:pt idx="153">
                  <c:v>27.5</c:v>
                </c:pt>
                <c:pt idx="154">
                  <c:v>28.8</c:v>
                </c:pt>
                <c:pt idx="155">
                  <c:v>45.5</c:v>
                </c:pt>
                <c:pt idx="156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E-4155-BE8C-E076A651A231}"/>
            </c:ext>
          </c:extLst>
        </c:ser>
        <c:ser>
          <c:idx val="1"/>
          <c:order val="1"/>
          <c:tx>
            <c:strRef>
              <c:f>Car_sales_Cleaned!$H$2</c:f>
              <c:strCache>
                <c:ptCount val="1"/>
                <c:pt idx="0">
                  <c:v>140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yVal>
            <c:numRef>
              <c:f>Car_sales_Cleaned!$H$3:$H$158</c:f>
              <c:numCache>
                <c:formatCode>General</c:formatCode>
                <c:ptCount val="156"/>
                <c:pt idx="0">
                  <c:v>225</c:v>
                </c:pt>
                <c:pt idx="1">
                  <c:v>225</c:v>
                </c:pt>
                <c:pt idx="2">
                  <c:v>210</c:v>
                </c:pt>
                <c:pt idx="3">
                  <c:v>150</c:v>
                </c:pt>
                <c:pt idx="4">
                  <c:v>200</c:v>
                </c:pt>
                <c:pt idx="5">
                  <c:v>310</c:v>
                </c:pt>
                <c:pt idx="6">
                  <c:v>170</c:v>
                </c:pt>
                <c:pt idx="7">
                  <c:v>193</c:v>
                </c:pt>
                <c:pt idx="8">
                  <c:v>193</c:v>
                </c:pt>
                <c:pt idx="9">
                  <c:v>175</c:v>
                </c:pt>
                <c:pt idx="10">
                  <c:v>240</c:v>
                </c:pt>
                <c:pt idx="11">
                  <c:v>205</c:v>
                </c:pt>
                <c:pt idx="12">
                  <c:v>205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200</c:v>
                </c:pt>
                <c:pt idx="17">
                  <c:v>255</c:v>
                </c:pt>
                <c:pt idx="18">
                  <c:v>115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200</c:v>
                </c:pt>
                <c:pt idx="23">
                  <c:v>345</c:v>
                </c:pt>
                <c:pt idx="24">
                  <c:v>120</c:v>
                </c:pt>
                <c:pt idx="25">
                  <c:v>55</c:v>
                </c:pt>
                <c:pt idx="26">
                  <c:v>180</c:v>
                </c:pt>
                <c:pt idx="27">
                  <c:v>163</c:v>
                </c:pt>
                <c:pt idx="28">
                  <c:v>168</c:v>
                </c:pt>
                <c:pt idx="29">
                  <c:v>200</c:v>
                </c:pt>
                <c:pt idx="30">
                  <c:v>132</c:v>
                </c:pt>
                <c:pt idx="31">
                  <c:v>253</c:v>
                </c:pt>
                <c:pt idx="32">
                  <c:v>177.5</c:v>
                </c:pt>
                <c:pt idx="33">
                  <c:v>253</c:v>
                </c:pt>
                <c:pt idx="34">
                  <c:v>132</c:v>
                </c:pt>
                <c:pt idx="35">
                  <c:v>163</c:v>
                </c:pt>
                <c:pt idx="36">
                  <c:v>168</c:v>
                </c:pt>
                <c:pt idx="37">
                  <c:v>202</c:v>
                </c:pt>
                <c:pt idx="38">
                  <c:v>450</c:v>
                </c:pt>
                <c:pt idx="39">
                  <c:v>230</c:v>
                </c:pt>
                <c:pt idx="40">
                  <c:v>175</c:v>
                </c:pt>
                <c:pt idx="41">
                  <c:v>175</c:v>
                </c:pt>
                <c:pt idx="42">
                  <c:v>120</c:v>
                </c:pt>
                <c:pt idx="43">
                  <c:v>230</c:v>
                </c:pt>
                <c:pt idx="44">
                  <c:v>150</c:v>
                </c:pt>
                <c:pt idx="45">
                  <c:v>110</c:v>
                </c:pt>
                <c:pt idx="46">
                  <c:v>190</c:v>
                </c:pt>
                <c:pt idx="47">
                  <c:v>170</c:v>
                </c:pt>
                <c:pt idx="48">
                  <c:v>155</c:v>
                </c:pt>
                <c:pt idx="49">
                  <c:v>107</c:v>
                </c:pt>
                <c:pt idx="50">
                  <c:v>200</c:v>
                </c:pt>
                <c:pt idx="51">
                  <c:v>210</c:v>
                </c:pt>
                <c:pt idx="52">
                  <c:v>150</c:v>
                </c:pt>
                <c:pt idx="53">
                  <c:v>240</c:v>
                </c:pt>
                <c:pt idx="54">
                  <c:v>119</c:v>
                </c:pt>
                <c:pt idx="55">
                  <c:v>220</c:v>
                </c:pt>
                <c:pt idx="56">
                  <c:v>106</c:v>
                </c:pt>
                <c:pt idx="57">
                  <c:v>135</c:v>
                </c:pt>
                <c:pt idx="58">
                  <c:v>146</c:v>
                </c:pt>
                <c:pt idx="59">
                  <c:v>205</c:v>
                </c:pt>
                <c:pt idx="60">
                  <c:v>210</c:v>
                </c:pt>
                <c:pt idx="61">
                  <c:v>92</c:v>
                </c:pt>
                <c:pt idx="62">
                  <c:v>140</c:v>
                </c:pt>
                <c:pt idx="63">
                  <c:v>148</c:v>
                </c:pt>
                <c:pt idx="64">
                  <c:v>227</c:v>
                </c:pt>
                <c:pt idx="65">
                  <c:v>240</c:v>
                </c:pt>
                <c:pt idx="66">
                  <c:v>120</c:v>
                </c:pt>
                <c:pt idx="67">
                  <c:v>190</c:v>
                </c:pt>
                <c:pt idx="68">
                  <c:v>195</c:v>
                </c:pt>
                <c:pt idx="69">
                  <c:v>210</c:v>
                </c:pt>
                <c:pt idx="70">
                  <c:v>225</c:v>
                </c:pt>
                <c:pt idx="71">
                  <c:v>300</c:v>
                </c:pt>
                <c:pt idx="72">
                  <c:v>290</c:v>
                </c:pt>
                <c:pt idx="73">
                  <c:v>230</c:v>
                </c:pt>
                <c:pt idx="74">
                  <c:v>220</c:v>
                </c:pt>
                <c:pt idx="75">
                  <c:v>275</c:v>
                </c:pt>
                <c:pt idx="76">
                  <c:v>215</c:v>
                </c:pt>
                <c:pt idx="77">
                  <c:v>300</c:v>
                </c:pt>
                <c:pt idx="78">
                  <c:v>113</c:v>
                </c:pt>
                <c:pt idx="79">
                  <c:v>154</c:v>
                </c:pt>
                <c:pt idx="80">
                  <c:v>145</c:v>
                </c:pt>
                <c:pt idx="81">
                  <c:v>210</c:v>
                </c:pt>
                <c:pt idx="82">
                  <c:v>161</c:v>
                </c:pt>
                <c:pt idx="83">
                  <c:v>200</c:v>
                </c:pt>
                <c:pt idx="84">
                  <c:v>173</c:v>
                </c:pt>
                <c:pt idx="85">
                  <c:v>125</c:v>
                </c:pt>
                <c:pt idx="86">
                  <c:v>125</c:v>
                </c:pt>
                <c:pt idx="87">
                  <c:v>153</c:v>
                </c:pt>
                <c:pt idx="88">
                  <c:v>200</c:v>
                </c:pt>
                <c:pt idx="89">
                  <c:v>210</c:v>
                </c:pt>
                <c:pt idx="90">
                  <c:v>170</c:v>
                </c:pt>
                <c:pt idx="91">
                  <c:v>185</c:v>
                </c:pt>
                <c:pt idx="92">
                  <c:v>221</c:v>
                </c:pt>
                <c:pt idx="93">
                  <c:v>275</c:v>
                </c:pt>
                <c:pt idx="94">
                  <c:v>302</c:v>
                </c:pt>
                <c:pt idx="95">
                  <c:v>190</c:v>
                </c:pt>
                <c:pt idx="96">
                  <c:v>185</c:v>
                </c:pt>
                <c:pt idx="97">
                  <c:v>215</c:v>
                </c:pt>
                <c:pt idx="98">
                  <c:v>302</c:v>
                </c:pt>
                <c:pt idx="99">
                  <c:v>215</c:v>
                </c:pt>
                <c:pt idx="100">
                  <c:v>126</c:v>
                </c:pt>
                <c:pt idx="101">
                  <c:v>155</c:v>
                </c:pt>
                <c:pt idx="102">
                  <c:v>222</c:v>
                </c:pt>
                <c:pt idx="103">
                  <c:v>170</c:v>
                </c:pt>
                <c:pt idx="104">
                  <c:v>170</c:v>
                </c:pt>
                <c:pt idx="105">
                  <c:v>170</c:v>
                </c:pt>
                <c:pt idx="106">
                  <c:v>170</c:v>
                </c:pt>
                <c:pt idx="107">
                  <c:v>150</c:v>
                </c:pt>
                <c:pt idx="108">
                  <c:v>215</c:v>
                </c:pt>
                <c:pt idx="109">
                  <c:v>150</c:v>
                </c:pt>
                <c:pt idx="110">
                  <c:v>250</c:v>
                </c:pt>
                <c:pt idx="111">
                  <c:v>190</c:v>
                </c:pt>
                <c:pt idx="112">
                  <c:v>185</c:v>
                </c:pt>
                <c:pt idx="113">
                  <c:v>132</c:v>
                </c:pt>
                <c:pt idx="114">
                  <c:v>132</c:v>
                </c:pt>
                <c:pt idx="115">
                  <c:v>150</c:v>
                </c:pt>
                <c:pt idx="116">
                  <c:v>253</c:v>
                </c:pt>
                <c:pt idx="117">
                  <c:v>150</c:v>
                </c:pt>
                <c:pt idx="118">
                  <c:v>175</c:v>
                </c:pt>
                <c:pt idx="119">
                  <c:v>200</c:v>
                </c:pt>
                <c:pt idx="120">
                  <c:v>195</c:v>
                </c:pt>
                <c:pt idx="121">
                  <c:v>205</c:v>
                </c:pt>
                <c:pt idx="122">
                  <c:v>185</c:v>
                </c:pt>
                <c:pt idx="123">
                  <c:v>217</c:v>
                </c:pt>
                <c:pt idx="124">
                  <c:v>300</c:v>
                </c:pt>
                <c:pt idx="125">
                  <c:v>300</c:v>
                </c:pt>
                <c:pt idx="126">
                  <c:v>170</c:v>
                </c:pt>
                <c:pt idx="127">
                  <c:v>185</c:v>
                </c:pt>
                <c:pt idx="128">
                  <c:v>100</c:v>
                </c:pt>
                <c:pt idx="129">
                  <c:v>100</c:v>
                </c:pt>
                <c:pt idx="130">
                  <c:v>124</c:v>
                </c:pt>
                <c:pt idx="131">
                  <c:v>137</c:v>
                </c:pt>
                <c:pt idx="132">
                  <c:v>137</c:v>
                </c:pt>
                <c:pt idx="133">
                  <c:v>165</c:v>
                </c:pt>
                <c:pt idx="134">
                  <c:v>165</c:v>
                </c:pt>
                <c:pt idx="135">
                  <c:v>120</c:v>
                </c:pt>
                <c:pt idx="136">
                  <c:v>133</c:v>
                </c:pt>
                <c:pt idx="137">
                  <c:v>210</c:v>
                </c:pt>
                <c:pt idx="138">
                  <c:v>140</c:v>
                </c:pt>
                <c:pt idx="139">
                  <c:v>142</c:v>
                </c:pt>
                <c:pt idx="140">
                  <c:v>194</c:v>
                </c:pt>
                <c:pt idx="141">
                  <c:v>127</c:v>
                </c:pt>
                <c:pt idx="142">
                  <c:v>150</c:v>
                </c:pt>
                <c:pt idx="143">
                  <c:v>230</c:v>
                </c:pt>
                <c:pt idx="144">
                  <c:v>115</c:v>
                </c:pt>
                <c:pt idx="145">
                  <c:v>115</c:v>
                </c:pt>
                <c:pt idx="146">
                  <c:v>150</c:v>
                </c:pt>
                <c:pt idx="147">
                  <c:v>115</c:v>
                </c:pt>
                <c:pt idx="148">
                  <c:v>115</c:v>
                </c:pt>
                <c:pt idx="149">
                  <c:v>115</c:v>
                </c:pt>
                <c:pt idx="150">
                  <c:v>160</c:v>
                </c:pt>
                <c:pt idx="151">
                  <c:v>160</c:v>
                </c:pt>
                <c:pt idx="152">
                  <c:v>168</c:v>
                </c:pt>
                <c:pt idx="153">
                  <c:v>168</c:v>
                </c:pt>
                <c:pt idx="154">
                  <c:v>236</c:v>
                </c:pt>
                <c:pt idx="155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3E-4155-BE8C-E076A651A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081136"/>
        <c:axId val="850264368"/>
      </c:scatterChart>
      <c:valAx>
        <c:axId val="100508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64368"/>
        <c:crosses val="autoZero"/>
        <c:crossBetween val="midCat"/>
      </c:valAx>
      <c:valAx>
        <c:axId val="85026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Horsepower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8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[Car_sales.xlsx]EDA!PivotTable2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EDA!$A$11:$A$41</c:f>
              <c:strCache>
                <c:ptCount val="30"/>
                <c:pt idx="0">
                  <c:v>Ford</c:v>
                </c:pt>
                <c:pt idx="1">
                  <c:v>Dodge</c:v>
                </c:pt>
                <c:pt idx="2">
                  <c:v>Toyota</c:v>
                </c:pt>
                <c:pt idx="3">
                  <c:v>Honda</c:v>
                </c:pt>
                <c:pt idx="4">
                  <c:v>Chevrolet</c:v>
                </c:pt>
                <c:pt idx="5">
                  <c:v>Nissan</c:v>
                </c:pt>
                <c:pt idx="6">
                  <c:v>Pontiac</c:v>
                </c:pt>
                <c:pt idx="7">
                  <c:v>Jeep</c:v>
                </c:pt>
                <c:pt idx="8">
                  <c:v>Buick</c:v>
                </c:pt>
                <c:pt idx="9">
                  <c:v>Mercury</c:v>
                </c:pt>
                <c:pt idx="10">
                  <c:v>Volkswagen</c:v>
                </c:pt>
                <c:pt idx="11">
                  <c:v>Chrysler</c:v>
                </c:pt>
                <c:pt idx="12">
                  <c:v>Mitsubishi</c:v>
                </c:pt>
                <c:pt idx="13">
                  <c:v>Oldsmobile</c:v>
                </c:pt>
                <c:pt idx="14">
                  <c:v>Saturn</c:v>
                </c:pt>
                <c:pt idx="15">
                  <c:v>Hyundai</c:v>
                </c:pt>
                <c:pt idx="16">
                  <c:v>Mercedes-B</c:v>
                </c:pt>
                <c:pt idx="17">
                  <c:v>Cadillac</c:v>
                </c:pt>
                <c:pt idx="18">
                  <c:v>Lexus</c:v>
                </c:pt>
                <c:pt idx="19">
                  <c:v>Lincoln</c:v>
                </c:pt>
                <c:pt idx="20">
                  <c:v>Subaru</c:v>
                </c:pt>
                <c:pt idx="21">
                  <c:v>Acura</c:v>
                </c:pt>
                <c:pt idx="22">
                  <c:v>Volvo</c:v>
                </c:pt>
                <c:pt idx="23">
                  <c:v>Plymouth</c:v>
                </c:pt>
                <c:pt idx="24">
                  <c:v>BMW</c:v>
                </c:pt>
                <c:pt idx="25">
                  <c:v>Audi</c:v>
                </c:pt>
                <c:pt idx="26">
                  <c:v>Infiniti</c:v>
                </c:pt>
                <c:pt idx="27">
                  <c:v>Saab</c:v>
                </c:pt>
                <c:pt idx="28">
                  <c:v>Jaguar</c:v>
                </c:pt>
                <c:pt idx="29">
                  <c:v>Porsche</c:v>
                </c:pt>
              </c:strCache>
            </c:strRef>
          </c:cat>
          <c:val>
            <c:numRef>
              <c:f>EDA!$B$11:$B$41</c:f>
              <c:numCache>
                <c:formatCode>General</c:formatCode>
                <c:ptCount val="30"/>
                <c:pt idx="0">
                  <c:v>2022.635</c:v>
                </c:pt>
                <c:pt idx="1">
                  <c:v>910.149</c:v>
                </c:pt>
                <c:pt idx="2">
                  <c:v>740.20500000000004</c:v>
                </c:pt>
                <c:pt idx="3">
                  <c:v>592.67399999999998</c:v>
                </c:pt>
                <c:pt idx="4">
                  <c:v>554.36500000000001</c:v>
                </c:pt>
                <c:pt idx="5">
                  <c:v>399.63499999999999</c:v>
                </c:pt>
                <c:pt idx="6">
                  <c:v>370.53399999999999</c:v>
                </c:pt>
                <c:pt idx="7">
                  <c:v>293.15300000000002</c:v>
                </c:pt>
                <c:pt idx="8">
                  <c:v>242.01900000000001</c:v>
                </c:pt>
                <c:pt idx="9">
                  <c:v>237.999</c:v>
                </c:pt>
                <c:pt idx="10">
                  <c:v>209.21199999999999</c:v>
                </c:pt>
                <c:pt idx="11">
                  <c:v>201.721</c:v>
                </c:pt>
                <c:pt idx="12">
                  <c:v>180.89500000000001</c:v>
                </c:pt>
                <c:pt idx="13">
                  <c:v>178.989</c:v>
                </c:pt>
                <c:pt idx="14">
                  <c:v>168.85</c:v>
                </c:pt>
                <c:pt idx="15">
                  <c:v>137.32599999999999</c:v>
                </c:pt>
                <c:pt idx="16">
                  <c:v>117.125</c:v>
                </c:pt>
                <c:pt idx="17">
                  <c:v>112.178</c:v>
                </c:pt>
                <c:pt idx="18">
                  <c:v>106.843</c:v>
                </c:pt>
                <c:pt idx="19">
                  <c:v>85.634</c:v>
                </c:pt>
                <c:pt idx="20">
                  <c:v>80.135000000000005</c:v>
                </c:pt>
                <c:pt idx="21">
                  <c:v>79.004999999999995</c:v>
                </c:pt>
                <c:pt idx="22">
                  <c:v>75.739999999999995</c:v>
                </c:pt>
                <c:pt idx="23">
                  <c:v>64.001000000000005</c:v>
                </c:pt>
                <c:pt idx="24">
                  <c:v>46.505000000000003</c:v>
                </c:pt>
                <c:pt idx="25">
                  <c:v>40.557000000000002</c:v>
                </c:pt>
                <c:pt idx="26">
                  <c:v>23.713000000000001</c:v>
                </c:pt>
                <c:pt idx="27">
                  <c:v>21.306000000000001</c:v>
                </c:pt>
                <c:pt idx="28">
                  <c:v>15.467000000000001</c:v>
                </c:pt>
                <c:pt idx="29">
                  <c:v>12.128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C-44EE-9C6A-7515D57F6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3075967"/>
        <c:axId val="1538414639"/>
      </c:barChart>
      <c:catAx>
        <c:axId val="17730759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14639"/>
        <c:crosses val="autoZero"/>
        <c:auto val="1"/>
        <c:lblAlgn val="ctr"/>
        <c:lblOffset val="100"/>
        <c:noMultiLvlLbl val="0"/>
      </c:catAx>
      <c:valAx>
        <c:axId val="15384146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7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[Car_sales.xlsx]EDA!PivotTable7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EDA!$H$10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6C-481C-860A-2362329DA1FA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6C-481C-860A-2362329DA1F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EDA!$G$11:$G$13</c:f>
              <c:strCache>
                <c:ptCount val="2"/>
                <c:pt idx="0">
                  <c:v>Passenger</c:v>
                </c:pt>
                <c:pt idx="1">
                  <c:v>Car</c:v>
                </c:pt>
              </c:strCache>
            </c:strRef>
          </c:cat>
          <c:val>
            <c:numRef>
              <c:f>EDA!$H$11:$H$13</c:f>
              <c:numCache>
                <c:formatCode>General</c:formatCode>
                <c:ptCount val="2"/>
                <c:pt idx="0">
                  <c:v>5015.1840000000002</c:v>
                </c:pt>
                <c:pt idx="1">
                  <c:v>3305.5140000000001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C-481C-860A-2362329DA1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[Car_sales.xlsx]EDA!PivotTable3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Selling Price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EDA!$D$11:$D$13</c:f>
              <c:strCache>
                <c:ptCount val="2"/>
                <c:pt idx="0">
                  <c:v>Car</c:v>
                </c:pt>
                <c:pt idx="1">
                  <c:v>Passenger</c:v>
                </c:pt>
              </c:strCache>
            </c:strRef>
          </c:cat>
          <c:val>
            <c:numRef>
              <c:f>EDA!$E$11:$E$13</c:f>
              <c:numCache>
                <c:formatCode>0.00</c:formatCode>
                <c:ptCount val="2"/>
                <c:pt idx="0">
                  <c:v>26.23412195121951</c:v>
                </c:pt>
                <c:pt idx="1">
                  <c:v>27.72041379310345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0-4643-9145-E0781E64E2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16404639"/>
        <c:axId val="2024623279"/>
      </c:barChart>
      <c:catAx>
        <c:axId val="201640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23279"/>
        <c:crosses val="autoZero"/>
        <c:auto val="1"/>
        <c:lblAlgn val="ctr"/>
        <c:lblOffset val="100"/>
        <c:noMultiLvlLbl val="0"/>
      </c:catAx>
      <c:valAx>
        <c:axId val="202462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[Car_sales.xlsx]EDA!PivotTable8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Horsepower by Manufacturer</a:t>
            </a:r>
          </a:p>
        </c:rich>
      </c:tx>
      <c:layout>
        <c:manualLayout>
          <c:xMode val="edge"/>
          <c:yMode val="edge"/>
          <c:x val="0.22597922134733159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EDA!$K$10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EDA!$J$11:$J$41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EDA!$K$11:$K$41</c:f>
              <c:numCache>
                <c:formatCode>0.00</c:formatCode>
                <c:ptCount val="30"/>
                <c:pt idx="0">
                  <c:v>200</c:v>
                </c:pt>
                <c:pt idx="1">
                  <c:v>220</c:v>
                </c:pt>
                <c:pt idx="2">
                  <c:v>185.33333333333334</c:v>
                </c:pt>
                <c:pt idx="3">
                  <c:v>206.25</c:v>
                </c:pt>
                <c:pt idx="4">
                  <c:v>256</c:v>
                </c:pt>
                <c:pt idx="5">
                  <c:v>171.11111111111111</c:v>
                </c:pt>
                <c:pt idx="6">
                  <c:v>192.35714285714286</c:v>
                </c:pt>
                <c:pt idx="7">
                  <c:v>199.54545454545453</c:v>
                </c:pt>
                <c:pt idx="8">
                  <c:v>170.09090909090909</c:v>
                </c:pt>
                <c:pt idx="9">
                  <c:v>160.4</c:v>
                </c:pt>
                <c:pt idx="10">
                  <c:v>126.66666666666667</c:v>
                </c:pt>
                <c:pt idx="11">
                  <c:v>227</c:v>
                </c:pt>
                <c:pt idx="12">
                  <c:v>240</c:v>
                </c:pt>
                <c:pt idx="13">
                  <c:v>168.33333333333334</c:v>
                </c:pt>
                <c:pt idx="14">
                  <c:v>245.83333333333334</c:v>
                </c:pt>
                <c:pt idx="15">
                  <c:v>263.33333333333331</c:v>
                </c:pt>
                <c:pt idx="16">
                  <c:v>232.22222222222223</c:v>
                </c:pt>
                <c:pt idx="17">
                  <c:v>163.83333333333334</c:v>
                </c:pt>
                <c:pt idx="18">
                  <c:v>165.14285714285714</c:v>
                </c:pt>
                <c:pt idx="19">
                  <c:v>169</c:v>
                </c:pt>
                <c:pt idx="20">
                  <c:v>190</c:v>
                </c:pt>
                <c:pt idx="21">
                  <c:v>166.75</c:v>
                </c:pt>
                <c:pt idx="22">
                  <c:v>185</c:v>
                </c:pt>
                <c:pt idx="23">
                  <c:v>272.33333333333331</c:v>
                </c:pt>
                <c:pt idx="24">
                  <c:v>177.5</c:v>
                </c:pt>
                <c:pt idx="25">
                  <c:v>119.6</c:v>
                </c:pt>
                <c:pt idx="26">
                  <c:v>165</c:v>
                </c:pt>
                <c:pt idx="27">
                  <c:v>160.66666666666666</c:v>
                </c:pt>
                <c:pt idx="28">
                  <c:v>120.83333333333333</c:v>
                </c:pt>
                <c:pt idx="29">
                  <c:v>182.16666666666666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0-4912-8F1B-5F1D8F5BF7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25898719"/>
        <c:axId val="2024605999"/>
      </c:barChart>
      <c:catAx>
        <c:axId val="202589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05999"/>
        <c:crosses val="autoZero"/>
        <c:auto val="1"/>
        <c:lblAlgn val="ctr"/>
        <c:lblOffset val="100"/>
        <c:noMultiLvlLbl val="0"/>
      </c:catAx>
      <c:valAx>
        <c:axId val="2024605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89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[Car_sales.xlsx]EDA!PivotTable9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Fuel Efficiency by Manufacturer</a:t>
            </a:r>
          </a:p>
        </c:rich>
      </c:tx>
      <c:layout>
        <c:manualLayout>
          <c:xMode val="edge"/>
          <c:yMode val="edge"/>
          <c:x val="0.179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EDA!$N$10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EDA!$M$11:$M$41</c:f>
              <c:strCache>
                <c:ptCount val="30"/>
                <c:pt idx="0">
                  <c:v>Saturn</c:v>
                </c:pt>
                <c:pt idx="1">
                  <c:v>Chevrolet</c:v>
                </c:pt>
                <c:pt idx="2">
                  <c:v>Hyundai</c:v>
                </c:pt>
                <c:pt idx="3">
                  <c:v>Volkswagen</c:v>
                </c:pt>
                <c:pt idx="4">
                  <c:v>Plymouth</c:v>
                </c:pt>
                <c:pt idx="5">
                  <c:v>Acura</c:v>
                </c:pt>
                <c:pt idx="6">
                  <c:v>Toyota</c:v>
                </c:pt>
                <c:pt idx="7">
                  <c:v>BMW</c:v>
                </c:pt>
                <c:pt idx="8">
                  <c:v>Honda</c:v>
                </c:pt>
                <c:pt idx="9">
                  <c:v>Infiniti</c:v>
                </c:pt>
                <c:pt idx="10">
                  <c:v>Pontiac</c:v>
                </c:pt>
                <c:pt idx="11">
                  <c:v>Subaru</c:v>
                </c:pt>
                <c:pt idx="12">
                  <c:v>Volvo</c:v>
                </c:pt>
                <c:pt idx="13">
                  <c:v>Chrysler</c:v>
                </c:pt>
                <c:pt idx="14">
                  <c:v>Buick</c:v>
                </c:pt>
                <c:pt idx="15">
                  <c:v>Mercury</c:v>
                </c:pt>
                <c:pt idx="16">
                  <c:v>Mercedes-B</c:v>
                </c:pt>
                <c:pt idx="17">
                  <c:v>Audi</c:v>
                </c:pt>
                <c:pt idx="18">
                  <c:v>Oldsmobile</c:v>
                </c:pt>
                <c:pt idx="19">
                  <c:v>Saab</c:v>
                </c:pt>
                <c:pt idx="20">
                  <c:v>Mitsubishi</c:v>
                </c:pt>
                <c:pt idx="21">
                  <c:v>Ford</c:v>
                </c:pt>
                <c:pt idx="22">
                  <c:v>Nissan</c:v>
                </c:pt>
                <c:pt idx="23">
                  <c:v>Porsche</c:v>
                </c:pt>
                <c:pt idx="24">
                  <c:v>Jaguar</c:v>
                </c:pt>
                <c:pt idx="25">
                  <c:v>Lexus</c:v>
                </c:pt>
                <c:pt idx="26">
                  <c:v>Cadillac</c:v>
                </c:pt>
                <c:pt idx="27">
                  <c:v>Dodge</c:v>
                </c:pt>
                <c:pt idx="28">
                  <c:v>Lincoln</c:v>
                </c:pt>
                <c:pt idx="29">
                  <c:v>Jeep</c:v>
                </c:pt>
              </c:strCache>
            </c:strRef>
          </c:cat>
          <c:val>
            <c:numRef>
              <c:f>EDA!$N$11:$N$41</c:f>
              <c:numCache>
                <c:formatCode>0.00</c:formatCode>
                <c:ptCount val="30"/>
                <c:pt idx="0">
                  <c:v>30.4</c:v>
                </c:pt>
                <c:pt idx="1">
                  <c:v>28.444444444444443</c:v>
                </c:pt>
                <c:pt idx="2">
                  <c:v>27.666666666666668</c:v>
                </c:pt>
                <c:pt idx="3">
                  <c:v>26.166666666666668</c:v>
                </c:pt>
                <c:pt idx="4">
                  <c:v>25.25</c:v>
                </c:pt>
                <c:pt idx="5">
                  <c:v>25.25</c:v>
                </c:pt>
                <c:pt idx="6">
                  <c:v>25.222222222222221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24.833333333333332</c:v>
                </c:pt>
                <c:pt idx="11">
                  <c:v>24.5</c:v>
                </c:pt>
                <c:pt idx="12">
                  <c:v>24.5</c:v>
                </c:pt>
                <c:pt idx="13">
                  <c:v>24.428571428571427</c:v>
                </c:pt>
                <c:pt idx="14">
                  <c:v>24.25</c:v>
                </c:pt>
                <c:pt idx="15">
                  <c:v>23.666666666666668</c:v>
                </c:pt>
                <c:pt idx="16">
                  <c:v>23.444444444444443</c:v>
                </c:pt>
                <c:pt idx="17">
                  <c:v>23.333333333333332</c:v>
                </c:pt>
                <c:pt idx="18">
                  <c:v>23.166666666666668</c:v>
                </c:pt>
                <c:pt idx="19">
                  <c:v>23</c:v>
                </c:pt>
                <c:pt idx="20">
                  <c:v>22.857142857142858</c:v>
                </c:pt>
                <c:pt idx="21">
                  <c:v>22.818181818181817</c:v>
                </c:pt>
                <c:pt idx="22">
                  <c:v>22.285714285714285</c:v>
                </c:pt>
                <c:pt idx="23">
                  <c:v>22</c:v>
                </c:pt>
                <c:pt idx="24">
                  <c:v>21</c:v>
                </c:pt>
                <c:pt idx="25">
                  <c:v>20.833333333333332</c:v>
                </c:pt>
                <c:pt idx="26">
                  <c:v>20.6</c:v>
                </c:pt>
                <c:pt idx="27">
                  <c:v>20.454545454545453</c:v>
                </c:pt>
                <c:pt idx="28">
                  <c:v>19.333333333333332</c:v>
                </c:pt>
                <c:pt idx="29">
                  <c:v>18.666666666666668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8-4775-B9B4-ECAC90533E7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059899231"/>
        <c:axId val="2024600239"/>
      </c:barChart>
      <c:catAx>
        <c:axId val="205989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00239"/>
        <c:crosses val="autoZero"/>
        <c:auto val="1"/>
        <c:lblAlgn val="ctr"/>
        <c:lblOffset val="100"/>
        <c:noMultiLvlLbl val="0"/>
      </c:catAx>
      <c:valAx>
        <c:axId val="202460023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9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[Car_sales.xlsx]EDA!PivotTable10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Price by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EDA!$S$9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EDA!$R$10:$R$40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EDA!$S$10:$S$40</c:f>
              <c:numCache>
                <c:formatCode>0.00</c:formatCode>
                <c:ptCount val="30"/>
                <c:pt idx="0">
                  <c:v>28.675000000000001</c:v>
                </c:pt>
                <c:pt idx="1">
                  <c:v>39.979999999999997</c:v>
                </c:pt>
                <c:pt idx="2">
                  <c:v>33.096666666666671</c:v>
                </c:pt>
                <c:pt idx="3">
                  <c:v>26.78125</c:v>
                </c:pt>
                <c:pt idx="4">
                  <c:v>40.254000000000005</c:v>
                </c:pt>
                <c:pt idx="5">
                  <c:v>20.02277777777778</c:v>
                </c:pt>
                <c:pt idx="6">
                  <c:v>23.340714285714284</c:v>
                </c:pt>
                <c:pt idx="7">
                  <c:v>24.213636363636365</c:v>
                </c:pt>
                <c:pt idx="8">
                  <c:v>21.047272727272727</c:v>
                </c:pt>
                <c:pt idx="9">
                  <c:v>20.277000000000001</c:v>
                </c:pt>
                <c:pt idx="10">
                  <c:v>12.165666666666667</c:v>
                </c:pt>
                <c:pt idx="11">
                  <c:v>29.465</c:v>
                </c:pt>
                <c:pt idx="12">
                  <c:v>42.8</c:v>
                </c:pt>
                <c:pt idx="13">
                  <c:v>20.991666666666667</c:v>
                </c:pt>
                <c:pt idx="14">
                  <c:v>44.055</c:v>
                </c:pt>
                <c:pt idx="15">
                  <c:v>41.69</c:v>
                </c:pt>
                <c:pt idx="16">
                  <c:v>52.916666666666664</c:v>
                </c:pt>
                <c:pt idx="17">
                  <c:v>20.748333333333331</c:v>
                </c:pt>
                <c:pt idx="18">
                  <c:v>22.167428571428569</c:v>
                </c:pt>
                <c:pt idx="19">
                  <c:v>22.360714285714288</c:v>
                </c:pt>
                <c:pt idx="20">
                  <c:v>25.622833333333332</c:v>
                </c:pt>
                <c:pt idx="21">
                  <c:v>22.642499999999998</c:v>
                </c:pt>
                <c:pt idx="22">
                  <c:v>22.949166666666667</c:v>
                </c:pt>
                <c:pt idx="23">
                  <c:v>62.473333333333329</c:v>
                </c:pt>
                <c:pt idx="24">
                  <c:v>29.61</c:v>
                </c:pt>
                <c:pt idx="25">
                  <c:v>14.271000000000001</c:v>
                </c:pt>
                <c:pt idx="26">
                  <c:v>21.395</c:v>
                </c:pt>
                <c:pt idx="27">
                  <c:v>21.98288888888889</c:v>
                </c:pt>
                <c:pt idx="28">
                  <c:v>17.698333333333334</c:v>
                </c:pt>
                <c:pt idx="29">
                  <c:v>30.933333333333334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7-4058-8D20-4DCDC3243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0092383"/>
        <c:axId val="2024657359"/>
        <c:axId val="0"/>
      </c:bar3DChart>
      <c:catAx>
        <c:axId val="165009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57359"/>
        <c:crosses val="autoZero"/>
        <c:auto val="1"/>
        <c:lblAlgn val="ctr"/>
        <c:lblOffset val="100"/>
        <c:noMultiLvlLbl val="0"/>
      </c:catAx>
      <c:valAx>
        <c:axId val="20246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Horsepower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Car_sales_Cleaned!$F$1</c:f>
              <c:strCache>
                <c:ptCount val="1"/>
                <c:pt idx="0">
                  <c:v>Price_in_thousands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Car_sales_Cleaned!$F$2:$F$158</c:f>
              <c:numCache>
                <c:formatCode>General</c:formatCode>
                <c:ptCount val="157"/>
                <c:pt idx="0">
                  <c:v>21.5</c:v>
                </c:pt>
                <c:pt idx="1">
                  <c:v>28.4</c:v>
                </c:pt>
                <c:pt idx="2" formatCode="0.00">
                  <c:v>22.8</c:v>
                </c:pt>
                <c:pt idx="3">
                  <c:v>42</c:v>
                </c:pt>
                <c:pt idx="4">
                  <c:v>23.99</c:v>
                </c:pt>
                <c:pt idx="5">
                  <c:v>33.950000000000003</c:v>
                </c:pt>
                <c:pt idx="6">
                  <c:v>62</c:v>
                </c:pt>
                <c:pt idx="7">
                  <c:v>26.99</c:v>
                </c:pt>
                <c:pt idx="8">
                  <c:v>33.4</c:v>
                </c:pt>
                <c:pt idx="9">
                  <c:v>38.9</c:v>
                </c:pt>
                <c:pt idx="10">
                  <c:v>21.975000000000001</c:v>
                </c:pt>
                <c:pt idx="11">
                  <c:v>25.3</c:v>
                </c:pt>
                <c:pt idx="12">
                  <c:v>31.965</c:v>
                </c:pt>
                <c:pt idx="13">
                  <c:v>27.885000000000002</c:v>
                </c:pt>
                <c:pt idx="14">
                  <c:v>39.895000000000003</c:v>
                </c:pt>
                <c:pt idx="15">
                  <c:v>44.475000000000001</c:v>
                </c:pt>
                <c:pt idx="16">
                  <c:v>39.664999999999999</c:v>
                </c:pt>
                <c:pt idx="17">
                  <c:v>31.01</c:v>
                </c:pt>
                <c:pt idx="18">
                  <c:v>46.225000000000001</c:v>
                </c:pt>
                <c:pt idx="19">
                  <c:v>13.26</c:v>
                </c:pt>
                <c:pt idx="20">
                  <c:v>16.535</c:v>
                </c:pt>
                <c:pt idx="21">
                  <c:v>18.89</c:v>
                </c:pt>
                <c:pt idx="22">
                  <c:v>19.39</c:v>
                </c:pt>
                <c:pt idx="23">
                  <c:v>24.34</c:v>
                </c:pt>
                <c:pt idx="24">
                  <c:v>45.704999999999998</c:v>
                </c:pt>
                <c:pt idx="25">
                  <c:v>13.96</c:v>
                </c:pt>
                <c:pt idx="26">
                  <c:v>9.2349999999999994</c:v>
                </c:pt>
                <c:pt idx="27">
                  <c:v>18.89</c:v>
                </c:pt>
                <c:pt idx="28">
                  <c:v>19.84</c:v>
                </c:pt>
                <c:pt idx="29">
                  <c:v>24.495000000000001</c:v>
                </c:pt>
                <c:pt idx="30">
                  <c:v>22.245000000000001</c:v>
                </c:pt>
                <c:pt idx="31">
                  <c:v>16.48</c:v>
                </c:pt>
                <c:pt idx="32">
                  <c:v>28.34</c:v>
                </c:pt>
                <c:pt idx="33">
                  <c:v>22.8</c:v>
                </c:pt>
                <c:pt idx="34">
                  <c:v>29.184999999999999</c:v>
                </c:pt>
                <c:pt idx="35">
                  <c:v>12.64</c:v>
                </c:pt>
                <c:pt idx="36">
                  <c:v>19.045000000000002</c:v>
                </c:pt>
                <c:pt idx="37">
                  <c:v>20.23</c:v>
                </c:pt>
                <c:pt idx="38">
                  <c:v>22.504999999999999</c:v>
                </c:pt>
                <c:pt idx="39">
                  <c:v>69.724999999999994</c:v>
                </c:pt>
                <c:pt idx="40">
                  <c:v>19.46</c:v>
                </c:pt>
                <c:pt idx="41">
                  <c:v>21.315000000000001</c:v>
                </c:pt>
                <c:pt idx="42">
                  <c:v>18.574999999999999</c:v>
                </c:pt>
                <c:pt idx="43">
                  <c:v>16.98</c:v>
                </c:pt>
                <c:pt idx="44">
                  <c:v>26.31</c:v>
                </c:pt>
                <c:pt idx="45">
                  <c:v>19.565000000000001</c:v>
                </c:pt>
                <c:pt idx="46">
                  <c:v>12.07</c:v>
                </c:pt>
                <c:pt idx="47">
                  <c:v>21.56</c:v>
                </c:pt>
                <c:pt idx="48">
                  <c:v>17.035</c:v>
                </c:pt>
                <c:pt idx="49">
                  <c:v>17.885000000000002</c:v>
                </c:pt>
                <c:pt idx="50">
                  <c:v>12.315</c:v>
                </c:pt>
                <c:pt idx="51">
                  <c:v>22.195</c:v>
                </c:pt>
                <c:pt idx="52">
                  <c:v>31.93</c:v>
                </c:pt>
                <c:pt idx="53">
                  <c:v>21.41</c:v>
                </c:pt>
                <c:pt idx="54">
                  <c:v>36.134999999999998</c:v>
                </c:pt>
                <c:pt idx="55">
                  <c:v>12.05</c:v>
                </c:pt>
                <c:pt idx="56">
                  <c:v>26.934999999999999</c:v>
                </c:pt>
                <c:pt idx="57">
                  <c:v>12.885</c:v>
                </c:pt>
                <c:pt idx="58">
                  <c:v>15.35</c:v>
                </c:pt>
                <c:pt idx="59">
                  <c:v>20.55</c:v>
                </c:pt>
                <c:pt idx="60">
                  <c:v>26.6</c:v>
                </c:pt>
                <c:pt idx="61">
                  <c:v>26</c:v>
                </c:pt>
                <c:pt idx="62">
                  <c:v>9.6989999999999998</c:v>
                </c:pt>
                <c:pt idx="63">
                  <c:v>11.798999999999999</c:v>
                </c:pt>
                <c:pt idx="64">
                  <c:v>14.999000000000001</c:v>
                </c:pt>
                <c:pt idx="65">
                  <c:v>29.465</c:v>
                </c:pt>
                <c:pt idx="66">
                  <c:v>42.8</c:v>
                </c:pt>
                <c:pt idx="67">
                  <c:v>14.46</c:v>
                </c:pt>
                <c:pt idx="68">
                  <c:v>21.62</c:v>
                </c:pt>
                <c:pt idx="69">
                  <c:v>26.895</c:v>
                </c:pt>
                <c:pt idx="70">
                  <c:v>31.504999999999999</c:v>
                </c:pt>
                <c:pt idx="71">
                  <c:v>37.805</c:v>
                </c:pt>
                <c:pt idx="72">
                  <c:v>46.305</c:v>
                </c:pt>
                <c:pt idx="73">
                  <c:v>54.005000000000003</c:v>
                </c:pt>
                <c:pt idx="74">
                  <c:v>60.104999999999997</c:v>
                </c:pt>
                <c:pt idx="75">
                  <c:v>34.604999999999997</c:v>
                </c:pt>
                <c:pt idx="76">
                  <c:v>39.08</c:v>
                </c:pt>
                <c:pt idx="77">
                  <c:v>43.33</c:v>
                </c:pt>
                <c:pt idx="78">
                  <c:v>42.66</c:v>
                </c:pt>
                <c:pt idx="79">
                  <c:v>13.987</c:v>
                </c:pt>
                <c:pt idx="80">
                  <c:v>19.047000000000001</c:v>
                </c:pt>
                <c:pt idx="81">
                  <c:v>17.356999999999999</c:v>
                </c:pt>
                <c:pt idx="82">
                  <c:v>24.997</c:v>
                </c:pt>
                <c:pt idx="83">
                  <c:v>25.45</c:v>
                </c:pt>
                <c:pt idx="84">
                  <c:v>31.806999999999999</c:v>
                </c:pt>
                <c:pt idx="85">
                  <c:v>22.527000000000001</c:v>
                </c:pt>
                <c:pt idx="86">
                  <c:v>16.239999999999998</c:v>
                </c:pt>
                <c:pt idx="87">
                  <c:v>16.54</c:v>
                </c:pt>
                <c:pt idx="88">
                  <c:v>19.035</c:v>
                </c:pt>
                <c:pt idx="89">
                  <c:v>22.605</c:v>
                </c:pt>
                <c:pt idx="90">
                  <c:v>27.56</c:v>
                </c:pt>
                <c:pt idx="91">
                  <c:v>22.51</c:v>
                </c:pt>
                <c:pt idx="92">
                  <c:v>31.75</c:v>
                </c:pt>
                <c:pt idx="93">
                  <c:v>49.9</c:v>
                </c:pt>
                <c:pt idx="94">
                  <c:v>69.7</c:v>
                </c:pt>
                <c:pt idx="95">
                  <c:v>82.6</c:v>
                </c:pt>
                <c:pt idx="96">
                  <c:v>38.9</c:v>
                </c:pt>
                <c:pt idx="97">
                  <c:v>41</c:v>
                </c:pt>
                <c:pt idx="98">
                  <c:v>41.6</c:v>
                </c:pt>
                <c:pt idx="99">
                  <c:v>85.5</c:v>
                </c:pt>
                <c:pt idx="100">
                  <c:v>35.299999999999997</c:v>
                </c:pt>
                <c:pt idx="101">
                  <c:v>13.499000000000001</c:v>
                </c:pt>
                <c:pt idx="102">
                  <c:v>20.39</c:v>
                </c:pt>
                <c:pt idx="103">
                  <c:v>26.248999999999999</c:v>
                </c:pt>
                <c:pt idx="104">
                  <c:v>26.399000000000001</c:v>
                </c:pt>
                <c:pt idx="105">
                  <c:v>29.298999999999999</c:v>
                </c:pt>
                <c:pt idx="106">
                  <c:v>22.798999999999999</c:v>
                </c:pt>
                <c:pt idx="107">
                  <c:v>17.89</c:v>
                </c:pt>
                <c:pt idx="108">
                  <c:v>18.145</c:v>
                </c:pt>
                <c:pt idx="109">
                  <c:v>24.15</c:v>
                </c:pt>
                <c:pt idx="110">
                  <c:v>18.27</c:v>
                </c:pt>
                <c:pt idx="111">
                  <c:v>36.228999999999999</c:v>
                </c:pt>
                <c:pt idx="112">
                  <c:v>31.597999999999999</c:v>
                </c:pt>
                <c:pt idx="113">
                  <c:v>25.344999999999999</c:v>
                </c:pt>
                <c:pt idx="114">
                  <c:v>12.64</c:v>
                </c:pt>
                <c:pt idx="115">
                  <c:v>16.079999999999998</c:v>
                </c:pt>
                <c:pt idx="116">
                  <c:v>18.850000000000001</c:v>
                </c:pt>
                <c:pt idx="117">
                  <c:v>43</c:v>
                </c:pt>
                <c:pt idx="118">
                  <c:v>21.61</c:v>
                </c:pt>
                <c:pt idx="119">
                  <c:v>19.72</c:v>
                </c:pt>
                <c:pt idx="120">
                  <c:v>25.31</c:v>
                </c:pt>
                <c:pt idx="121">
                  <c:v>21.664999999999999</c:v>
                </c:pt>
                <c:pt idx="122">
                  <c:v>23.754999999999999</c:v>
                </c:pt>
                <c:pt idx="123">
                  <c:v>25.635000000000002</c:v>
                </c:pt>
                <c:pt idx="124">
                  <c:v>41.43</c:v>
                </c:pt>
                <c:pt idx="125">
                  <c:v>71.02</c:v>
                </c:pt>
                <c:pt idx="126">
                  <c:v>74.97</c:v>
                </c:pt>
                <c:pt idx="127">
                  <c:v>33.119999999999997</c:v>
                </c:pt>
                <c:pt idx="128">
                  <c:v>26.1</c:v>
                </c:pt>
                <c:pt idx="129">
                  <c:v>10.685</c:v>
                </c:pt>
                <c:pt idx="130">
                  <c:v>12.535</c:v>
                </c:pt>
                <c:pt idx="131">
                  <c:v>14.29</c:v>
                </c:pt>
                <c:pt idx="132">
                  <c:v>18.835000000000001</c:v>
                </c:pt>
                <c:pt idx="133">
                  <c:v>15.01</c:v>
                </c:pt>
                <c:pt idx="134">
                  <c:v>22.695</c:v>
                </c:pt>
                <c:pt idx="135">
                  <c:v>20.094999999999999</c:v>
                </c:pt>
                <c:pt idx="136">
                  <c:v>13.108000000000001</c:v>
                </c:pt>
                <c:pt idx="137">
                  <c:v>17.518000000000001</c:v>
                </c:pt>
                <c:pt idx="138">
                  <c:v>25.545000000000002</c:v>
                </c:pt>
                <c:pt idx="139">
                  <c:v>16.875</c:v>
                </c:pt>
                <c:pt idx="140">
                  <c:v>11.528</c:v>
                </c:pt>
                <c:pt idx="141">
                  <c:v>22.367999999999999</c:v>
                </c:pt>
                <c:pt idx="142">
                  <c:v>16.888000000000002</c:v>
                </c:pt>
                <c:pt idx="143">
                  <c:v>22.288</c:v>
                </c:pt>
                <c:pt idx="144">
                  <c:v>51.728000000000002</c:v>
                </c:pt>
                <c:pt idx="145">
                  <c:v>14.9</c:v>
                </c:pt>
                <c:pt idx="146">
                  <c:v>16.7</c:v>
                </c:pt>
                <c:pt idx="147">
                  <c:v>21.2</c:v>
                </c:pt>
                <c:pt idx="148">
                  <c:v>19.989999999999998</c:v>
                </c:pt>
                <c:pt idx="149">
                  <c:v>17.5</c:v>
                </c:pt>
                <c:pt idx="150">
                  <c:v>15.9</c:v>
                </c:pt>
                <c:pt idx="151">
                  <c:v>23.4</c:v>
                </c:pt>
                <c:pt idx="152">
                  <c:v>24.4</c:v>
                </c:pt>
                <c:pt idx="153">
                  <c:v>27.5</c:v>
                </c:pt>
                <c:pt idx="154">
                  <c:v>28.8</c:v>
                </c:pt>
                <c:pt idx="155">
                  <c:v>45.5</c:v>
                </c:pt>
                <c:pt idx="156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3-45F3-9344-489F018CF7BB}"/>
            </c:ext>
          </c:extLst>
        </c:ser>
        <c:ser>
          <c:idx val="1"/>
          <c:order val="1"/>
          <c:tx>
            <c:strRef>
              <c:f>Car_sales_Cleaned!$H$2</c:f>
              <c:strCache>
                <c:ptCount val="1"/>
                <c:pt idx="0">
                  <c:v>140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Car_sales_Cleaned!$H$3:$H$158</c:f>
              <c:numCache>
                <c:formatCode>General</c:formatCode>
                <c:ptCount val="156"/>
                <c:pt idx="0">
                  <c:v>225</c:v>
                </c:pt>
                <c:pt idx="1">
                  <c:v>225</c:v>
                </c:pt>
                <c:pt idx="2">
                  <c:v>210</c:v>
                </c:pt>
                <c:pt idx="3">
                  <c:v>150</c:v>
                </c:pt>
                <c:pt idx="4">
                  <c:v>200</c:v>
                </c:pt>
                <c:pt idx="5">
                  <c:v>310</c:v>
                </c:pt>
                <c:pt idx="6">
                  <c:v>170</c:v>
                </c:pt>
                <c:pt idx="7">
                  <c:v>193</c:v>
                </c:pt>
                <c:pt idx="8">
                  <c:v>193</c:v>
                </c:pt>
                <c:pt idx="9">
                  <c:v>175</c:v>
                </c:pt>
                <c:pt idx="10">
                  <c:v>240</c:v>
                </c:pt>
                <c:pt idx="11">
                  <c:v>205</c:v>
                </c:pt>
                <c:pt idx="12">
                  <c:v>205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200</c:v>
                </c:pt>
                <c:pt idx="17">
                  <c:v>255</c:v>
                </c:pt>
                <c:pt idx="18">
                  <c:v>115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200</c:v>
                </c:pt>
                <c:pt idx="23">
                  <c:v>345</c:v>
                </c:pt>
                <c:pt idx="24">
                  <c:v>120</c:v>
                </c:pt>
                <c:pt idx="25">
                  <c:v>55</c:v>
                </c:pt>
                <c:pt idx="26">
                  <c:v>180</c:v>
                </c:pt>
                <c:pt idx="27">
                  <c:v>163</c:v>
                </c:pt>
                <c:pt idx="28">
                  <c:v>168</c:v>
                </c:pt>
                <c:pt idx="29">
                  <c:v>200</c:v>
                </c:pt>
                <c:pt idx="30">
                  <c:v>132</c:v>
                </c:pt>
                <c:pt idx="31">
                  <c:v>253</c:v>
                </c:pt>
                <c:pt idx="32">
                  <c:v>177.5</c:v>
                </c:pt>
                <c:pt idx="33">
                  <c:v>253</c:v>
                </c:pt>
                <c:pt idx="34">
                  <c:v>132</c:v>
                </c:pt>
                <c:pt idx="35">
                  <c:v>163</c:v>
                </c:pt>
                <c:pt idx="36">
                  <c:v>168</c:v>
                </c:pt>
                <c:pt idx="37">
                  <c:v>202</c:v>
                </c:pt>
                <c:pt idx="38">
                  <c:v>450</c:v>
                </c:pt>
                <c:pt idx="39">
                  <c:v>230</c:v>
                </c:pt>
                <c:pt idx="40">
                  <c:v>175</c:v>
                </c:pt>
                <c:pt idx="41">
                  <c:v>175</c:v>
                </c:pt>
                <c:pt idx="42">
                  <c:v>120</c:v>
                </c:pt>
                <c:pt idx="43">
                  <c:v>230</c:v>
                </c:pt>
                <c:pt idx="44">
                  <c:v>150</c:v>
                </c:pt>
                <c:pt idx="45">
                  <c:v>110</c:v>
                </c:pt>
                <c:pt idx="46">
                  <c:v>190</c:v>
                </c:pt>
                <c:pt idx="47">
                  <c:v>170</c:v>
                </c:pt>
                <c:pt idx="48">
                  <c:v>155</c:v>
                </c:pt>
                <c:pt idx="49">
                  <c:v>107</c:v>
                </c:pt>
                <c:pt idx="50">
                  <c:v>200</c:v>
                </c:pt>
                <c:pt idx="51">
                  <c:v>210</c:v>
                </c:pt>
                <c:pt idx="52">
                  <c:v>150</c:v>
                </c:pt>
                <c:pt idx="53">
                  <c:v>240</c:v>
                </c:pt>
                <c:pt idx="54">
                  <c:v>119</c:v>
                </c:pt>
                <c:pt idx="55">
                  <c:v>220</c:v>
                </c:pt>
                <c:pt idx="56">
                  <c:v>106</c:v>
                </c:pt>
                <c:pt idx="57">
                  <c:v>135</c:v>
                </c:pt>
                <c:pt idx="58">
                  <c:v>146</c:v>
                </c:pt>
                <c:pt idx="59">
                  <c:v>205</c:v>
                </c:pt>
                <c:pt idx="60">
                  <c:v>210</c:v>
                </c:pt>
                <c:pt idx="61">
                  <c:v>92</c:v>
                </c:pt>
                <c:pt idx="62">
                  <c:v>140</c:v>
                </c:pt>
                <c:pt idx="63">
                  <c:v>148</c:v>
                </c:pt>
                <c:pt idx="64">
                  <c:v>227</c:v>
                </c:pt>
                <c:pt idx="65">
                  <c:v>240</c:v>
                </c:pt>
                <c:pt idx="66">
                  <c:v>120</c:v>
                </c:pt>
                <c:pt idx="67">
                  <c:v>190</c:v>
                </c:pt>
                <c:pt idx="68">
                  <c:v>195</c:v>
                </c:pt>
                <c:pt idx="69">
                  <c:v>210</c:v>
                </c:pt>
                <c:pt idx="70">
                  <c:v>225</c:v>
                </c:pt>
                <c:pt idx="71">
                  <c:v>300</c:v>
                </c:pt>
                <c:pt idx="72">
                  <c:v>290</c:v>
                </c:pt>
                <c:pt idx="73">
                  <c:v>230</c:v>
                </c:pt>
                <c:pt idx="74">
                  <c:v>220</c:v>
                </c:pt>
                <c:pt idx="75">
                  <c:v>275</c:v>
                </c:pt>
                <c:pt idx="76">
                  <c:v>215</c:v>
                </c:pt>
                <c:pt idx="77">
                  <c:v>300</c:v>
                </c:pt>
                <c:pt idx="78">
                  <c:v>113</c:v>
                </c:pt>
                <c:pt idx="79">
                  <c:v>154</c:v>
                </c:pt>
                <c:pt idx="80">
                  <c:v>145</c:v>
                </c:pt>
                <c:pt idx="81">
                  <c:v>210</c:v>
                </c:pt>
                <c:pt idx="82">
                  <c:v>161</c:v>
                </c:pt>
                <c:pt idx="83">
                  <c:v>200</c:v>
                </c:pt>
                <c:pt idx="84">
                  <c:v>173</c:v>
                </c:pt>
                <c:pt idx="85">
                  <c:v>125</c:v>
                </c:pt>
                <c:pt idx="86">
                  <c:v>125</c:v>
                </c:pt>
                <c:pt idx="87">
                  <c:v>153</c:v>
                </c:pt>
                <c:pt idx="88">
                  <c:v>200</c:v>
                </c:pt>
                <c:pt idx="89">
                  <c:v>210</c:v>
                </c:pt>
                <c:pt idx="90">
                  <c:v>170</c:v>
                </c:pt>
                <c:pt idx="91">
                  <c:v>185</c:v>
                </c:pt>
                <c:pt idx="92">
                  <c:v>221</c:v>
                </c:pt>
                <c:pt idx="93">
                  <c:v>275</c:v>
                </c:pt>
                <c:pt idx="94">
                  <c:v>302</c:v>
                </c:pt>
                <c:pt idx="95">
                  <c:v>190</c:v>
                </c:pt>
                <c:pt idx="96">
                  <c:v>185</c:v>
                </c:pt>
                <c:pt idx="97">
                  <c:v>215</c:v>
                </c:pt>
                <c:pt idx="98">
                  <c:v>302</c:v>
                </c:pt>
                <c:pt idx="99">
                  <c:v>215</c:v>
                </c:pt>
                <c:pt idx="100">
                  <c:v>126</c:v>
                </c:pt>
                <c:pt idx="101">
                  <c:v>155</c:v>
                </c:pt>
                <c:pt idx="102">
                  <c:v>222</c:v>
                </c:pt>
                <c:pt idx="103">
                  <c:v>170</c:v>
                </c:pt>
                <c:pt idx="104">
                  <c:v>170</c:v>
                </c:pt>
                <c:pt idx="105">
                  <c:v>170</c:v>
                </c:pt>
                <c:pt idx="106">
                  <c:v>170</c:v>
                </c:pt>
                <c:pt idx="107">
                  <c:v>150</c:v>
                </c:pt>
                <c:pt idx="108">
                  <c:v>215</c:v>
                </c:pt>
                <c:pt idx="109">
                  <c:v>150</c:v>
                </c:pt>
                <c:pt idx="110">
                  <c:v>250</c:v>
                </c:pt>
                <c:pt idx="111">
                  <c:v>190</c:v>
                </c:pt>
                <c:pt idx="112">
                  <c:v>185</c:v>
                </c:pt>
                <c:pt idx="113">
                  <c:v>132</c:v>
                </c:pt>
                <c:pt idx="114">
                  <c:v>132</c:v>
                </c:pt>
                <c:pt idx="115">
                  <c:v>150</c:v>
                </c:pt>
                <c:pt idx="116">
                  <c:v>253</c:v>
                </c:pt>
                <c:pt idx="117">
                  <c:v>150</c:v>
                </c:pt>
                <c:pt idx="118">
                  <c:v>175</c:v>
                </c:pt>
                <c:pt idx="119">
                  <c:v>200</c:v>
                </c:pt>
                <c:pt idx="120">
                  <c:v>195</c:v>
                </c:pt>
                <c:pt idx="121">
                  <c:v>205</c:v>
                </c:pt>
                <c:pt idx="122">
                  <c:v>185</c:v>
                </c:pt>
                <c:pt idx="123">
                  <c:v>217</c:v>
                </c:pt>
                <c:pt idx="124">
                  <c:v>300</c:v>
                </c:pt>
                <c:pt idx="125">
                  <c:v>300</c:v>
                </c:pt>
                <c:pt idx="126">
                  <c:v>170</c:v>
                </c:pt>
                <c:pt idx="127">
                  <c:v>185</c:v>
                </c:pt>
                <c:pt idx="128">
                  <c:v>100</c:v>
                </c:pt>
                <c:pt idx="129">
                  <c:v>100</c:v>
                </c:pt>
                <c:pt idx="130">
                  <c:v>124</c:v>
                </c:pt>
                <c:pt idx="131">
                  <c:v>137</c:v>
                </c:pt>
                <c:pt idx="132">
                  <c:v>137</c:v>
                </c:pt>
                <c:pt idx="133">
                  <c:v>165</c:v>
                </c:pt>
                <c:pt idx="134">
                  <c:v>165</c:v>
                </c:pt>
                <c:pt idx="135">
                  <c:v>120</c:v>
                </c:pt>
                <c:pt idx="136">
                  <c:v>133</c:v>
                </c:pt>
                <c:pt idx="137">
                  <c:v>210</c:v>
                </c:pt>
                <c:pt idx="138">
                  <c:v>140</c:v>
                </c:pt>
                <c:pt idx="139">
                  <c:v>142</c:v>
                </c:pt>
                <c:pt idx="140">
                  <c:v>194</c:v>
                </c:pt>
                <c:pt idx="141">
                  <c:v>127</c:v>
                </c:pt>
                <c:pt idx="142">
                  <c:v>150</c:v>
                </c:pt>
                <c:pt idx="143">
                  <c:v>230</c:v>
                </c:pt>
                <c:pt idx="144">
                  <c:v>115</c:v>
                </c:pt>
                <c:pt idx="145">
                  <c:v>115</c:v>
                </c:pt>
                <c:pt idx="146">
                  <c:v>150</c:v>
                </c:pt>
                <c:pt idx="147">
                  <c:v>115</c:v>
                </c:pt>
                <c:pt idx="148">
                  <c:v>115</c:v>
                </c:pt>
                <c:pt idx="149">
                  <c:v>115</c:v>
                </c:pt>
                <c:pt idx="150">
                  <c:v>160</c:v>
                </c:pt>
                <c:pt idx="151">
                  <c:v>160</c:v>
                </c:pt>
                <c:pt idx="152">
                  <c:v>168</c:v>
                </c:pt>
                <c:pt idx="153">
                  <c:v>168</c:v>
                </c:pt>
                <c:pt idx="154">
                  <c:v>236</c:v>
                </c:pt>
                <c:pt idx="155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43-45F3-9344-489F018CF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081136"/>
        <c:axId val="850264368"/>
      </c:scatterChart>
      <c:valAx>
        <c:axId val="100508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64368"/>
        <c:crosses val="autoZero"/>
        <c:crossBetween val="midCat"/>
      </c:valAx>
      <c:valAx>
        <c:axId val="85026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Horsepower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8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Vehicle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Vehicle Prices</a:t>
          </a:r>
        </a:p>
      </cx:txPr>
    </cx:title>
    <cx:plotArea>
      <cx:plotAreaRegion>
        <cx:series layoutId="clusteredColumn" uniqueId="{E6284B55-385C-4CAB-94D2-97E36C36B42C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 (Thousands)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Price (Thousands)</a:t>
              </a:r>
            </a:p>
          </cx:txPr>
        </cx:title>
        <cx:tickLabels/>
      </cx:axis>
      <cx:axis id="1">
        <cx:valScaling/>
        <cx:title>
          <cx:tx>
            <cx:txData>
              <cx:v>Number of Vehicles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Vehicles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Vehicle Price Outliers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Vehicle Price Outliers</a:t>
          </a:r>
        </a:p>
      </cx:txPr>
    </cx:title>
    <cx:plotArea>
      <cx:plotAreaRegion>
        <cx:series layoutId="boxWhisker" uniqueId="{00000000-B2DA-4661-83D5-2A5CFB61F92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Vehicle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Vehicle Prices</a:t>
          </a:r>
        </a:p>
      </cx:txPr>
    </cx:title>
    <cx:plotArea>
      <cx:plotAreaRegion>
        <cx:series layoutId="clusteredColumn" uniqueId="{E6284B55-385C-4CAB-94D2-97E36C36B42C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Vehicle Price Outliers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Vehicle Price Outliers</a:t>
          </a:r>
        </a:p>
      </cx:txPr>
    </cx:title>
    <cx:plotArea>
      <cx:plotAreaRegion>
        <cx:series layoutId="boxWhisker" uniqueId="{00000000-B2DA-4661-83D5-2A5CFB61F922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29</xdr:row>
      <xdr:rowOff>7620</xdr:rowOff>
    </xdr:from>
    <xdr:to>
      <xdr:col>7</xdr:col>
      <xdr:colOff>266700</xdr:colOff>
      <xdr:row>44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70517-ED25-47DB-594A-F4430610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</xdr:row>
      <xdr:rowOff>175260</xdr:rowOff>
    </xdr:from>
    <xdr:to>
      <xdr:col>5</xdr:col>
      <xdr:colOff>1432560</xdr:colOff>
      <xdr:row>28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FCEB78-E26A-D619-44D2-F103AA6A0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2057400</xdr:colOff>
      <xdr:row>14</xdr:row>
      <xdr:rowOff>0</xdr:rowOff>
    </xdr:from>
    <xdr:to>
      <xdr:col>8</xdr:col>
      <xdr:colOff>624840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C212A-7E01-F4E0-60ED-0D1B999A5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937260</xdr:colOff>
      <xdr:row>42</xdr:row>
      <xdr:rowOff>7620</xdr:rowOff>
    </xdr:from>
    <xdr:to>
      <xdr:col>11</xdr:col>
      <xdr:colOff>670560</xdr:colOff>
      <xdr:row>57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2306E7-3CEF-0CEA-6B74-C422778B2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1661160</xdr:colOff>
      <xdr:row>42</xdr:row>
      <xdr:rowOff>7620</xdr:rowOff>
    </xdr:from>
    <xdr:to>
      <xdr:col>16</xdr:col>
      <xdr:colOff>68580</xdr:colOff>
      <xdr:row>57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F51CE4-F741-A9D1-35B2-5601AE972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</xdr:colOff>
      <xdr:row>42</xdr:row>
      <xdr:rowOff>0</xdr:rowOff>
    </xdr:from>
    <xdr:to>
      <xdr:col>20</xdr:col>
      <xdr:colOff>114300</xdr:colOff>
      <xdr:row>57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EF6186-7C94-D20D-1E35-7C8CD316B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1203960</xdr:colOff>
      <xdr:row>7</xdr:row>
      <xdr:rowOff>99060</xdr:rowOff>
    </xdr:from>
    <xdr:to>
      <xdr:col>27</xdr:col>
      <xdr:colOff>182880</xdr:colOff>
      <xdr:row>22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39B84C-AEF7-4E81-BB19-3AF6E3711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1181100</xdr:colOff>
      <xdr:row>26</xdr:row>
      <xdr:rowOff>30480</xdr:rowOff>
    </xdr:from>
    <xdr:to>
      <xdr:col>28</xdr:col>
      <xdr:colOff>52444</xdr:colOff>
      <xdr:row>43</xdr:row>
      <xdr:rowOff>9861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D7957AF-10AA-4D50-A9F2-F1B664EC7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31060" y="4785360"/>
              <a:ext cx="5074024" cy="30883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47</xdr:row>
      <xdr:rowOff>0</xdr:rowOff>
    </xdr:from>
    <xdr:to>
      <xdr:col>27</xdr:col>
      <xdr:colOff>190500</xdr:colOff>
      <xdr:row>62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6894EEA-81D6-4AB5-AF86-7A47959404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61540" y="85953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15240</xdr:rowOff>
    </xdr:from>
    <xdr:to>
      <xdr:col>8</xdr:col>
      <xdr:colOff>594360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50F53-C2E2-4A56-8E0E-CD086D325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15240</xdr:colOff>
      <xdr:row>10</xdr:row>
      <xdr:rowOff>15240</xdr:rowOff>
    </xdr:from>
    <xdr:to>
      <xdr:col>24</xdr:col>
      <xdr:colOff>601980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9B2F0-D83C-4B4F-98D1-6104D23D0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22860</xdr:colOff>
      <xdr:row>27</xdr:row>
      <xdr:rowOff>0</xdr:rowOff>
    </xdr:from>
    <xdr:to>
      <xdr:col>25</xdr:col>
      <xdr:colOff>15240</xdr:colOff>
      <xdr:row>40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9C9F10-AEF2-4236-81C4-415526C4C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</xdr:colOff>
      <xdr:row>26</xdr:row>
      <xdr:rowOff>175260</xdr:rowOff>
    </xdr:from>
    <xdr:to>
      <xdr:col>18</xdr:col>
      <xdr:colOff>7620</xdr:colOff>
      <xdr:row>41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28A75-EF9D-4EF7-B0F6-951F5C747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26</xdr:row>
      <xdr:rowOff>167640</xdr:rowOff>
    </xdr:from>
    <xdr:to>
      <xdr:col>9</xdr:col>
      <xdr:colOff>15240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367016-61AE-4784-A884-885AD2952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594360</xdr:colOff>
      <xdr:row>10</xdr:row>
      <xdr:rowOff>7620</xdr:rowOff>
    </xdr:from>
    <xdr:to>
      <xdr:col>18</xdr:col>
      <xdr:colOff>0</xdr:colOff>
      <xdr:row>26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EE9106-9E0A-4265-BCEF-BBEBD3412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586740</xdr:colOff>
      <xdr:row>42</xdr:row>
      <xdr:rowOff>15240</xdr:rowOff>
    </xdr:from>
    <xdr:to>
      <xdr:col>11</xdr:col>
      <xdr:colOff>15240</xdr:colOff>
      <xdr:row>57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E33652-1D94-4490-9A9B-AEE5BA889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22860</xdr:colOff>
      <xdr:row>42</xdr:row>
      <xdr:rowOff>15240</xdr:rowOff>
    </xdr:from>
    <xdr:to>
      <xdr:col>19</xdr:col>
      <xdr:colOff>457200</xdr:colOff>
      <xdr:row>57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FC9E837-3A39-4E66-B009-0DF76D12F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8460" y="7696200"/>
              <a:ext cx="531114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42</xdr:row>
      <xdr:rowOff>15240</xdr:rowOff>
    </xdr:from>
    <xdr:to>
      <xdr:col>25</xdr:col>
      <xdr:colOff>7620</xdr:colOff>
      <xdr:row>58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24D8D1B-630A-492E-B356-52363A6A7B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0" y="7696200"/>
              <a:ext cx="3055620" cy="2910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oni Hansda" refreshedDate="46239.772448148149" createdVersion="8" refreshedVersion="8" minRefreshableVersion="3" recordCount="157" xr:uid="{6A2695F0-17A7-49E2-A558-9F43923D22F9}">
  <cacheSource type="worksheet">
    <worksheetSource name="CarSales"/>
  </cacheSource>
  <cacheFields count="16"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 numFmtId="0">
      <sharedItems containsDate="1" containsMixedTypes="1" minDate="2026-09-03T00:00:00" maxDate="2026-09-06T00:00:00"/>
    </cacheField>
    <cacheField name="Sales_in_thousands" numFmtId="2">
      <sharedItems containsSemiMixedTypes="0" containsString="0" containsNumber="1" minValue="0.11" maxValue="540.56100000000004"/>
    </cacheField>
    <cacheField name="__year_resale_value" numFmtId="2">
      <sharedItems containsSemiMixedTypes="0" containsString="0" containsNumber="1" minValue="5.16" maxValue="67.55"/>
    </cacheField>
    <cacheField name="Vehicle_type" numFmtId="0">
      <sharedItems/>
    </cacheField>
    <cacheField name="Price_in_thousands" numFmtId="0">
      <sharedItems containsSemiMixedTypes="0" containsString="0" containsNumber="1" minValue="9.2349999999999994" maxValue="85.5"/>
    </cacheField>
    <cacheField name="Engine_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minValue="55" maxValue="450"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_weight" numFmtId="0">
      <sharedItems containsSemiMixedTypes="0" containsString="0" containsNumber="1" minValue="1.895" maxValue="5.5720000000000001"/>
    </cacheField>
    <cacheField name="Fuel_capacity" numFmtId="0">
      <sharedItems containsSemiMixedTypes="0" containsString="0" containsNumber="1" minValue="10.3" maxValue="32"/>
    </cacheField>
    <cacheField name="Fuel_efficiency" numFmtId="0">
      <sharedItems containsSemiMixedTypes="0" containsString="0" containsNumber="1" containsInteger="1" minValue="15" maxValue="45"/>
    </cacheField>
    <cacheField name="Latest_Launch" numFmtId="14">
      <sharedItems containsSemiMixedTypes="0" containsNonDate="0" containsDate="1" containsString="0" minDate="2008-02-13T00:00:00" maxDate="2012-12-30T00:00:00"/>
    </cacheField>
    <cacheField name="Power_perf_factor" numFmtId="2">
      <sharedItems containsSemiMixedTypes="0" containsString="0" containsNumber="1" minValue="23.276272330000001" maxValue="188.144323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oni Hansda" refreshedDate="46239.767965277781" backgroundQuery="1" createdVersion="8" refreshedVersion="8" minRefreshableVersion="3" recordCount="0" supportSubquery="1" supportAdvancedDrill="1" xr:uid="{ED98D0DE-0A96-4B2F-8D51-217823AAC114}">
  <cacheSource type="external" connectionId="1"/>
  <cacheFields count="2">
    <cacheField name="[CarSales].[Vehicle_type].[Vehicle_type]" caption="Vehicle_type" numFmtId="0" hierarchy="4" level="1">
      <sharedItems count="2">
        <s v="Car"/>
        <s v="Passenger"/>
      </sharedItems>
    </cacheField>
    <cacheField name="[Measures].[Sum of Sales_in_thousands]" caption="Sum of Sales_in_thousands" numFmtId="0" hierarchy="18" level="32767"/>
  </cacheFields>
  <cacheHierarchies count="23">
    <cacheHierarchy uniqueName="[CarSales].[Manufacturer]" caption="Manufacturer" attribute="1" defaultMemberUniqueName="[CarSales].[Manufacturer].[All]" allUniqueName="[CarSales].[Manufacturer].[All]" dimensionUniqueName="[CarSales]" displayFolder="" count="0" memberValueDatatype="130" unbalanced="0"/>
    <cacheHierarchy uniqueName="[CarSales].[Model]" caption="Model" attribute="1" defaultMemberUniqueName="[CarSales].[Model].[All]" allUniqueName="[CarSales].[Model].[All]" dimensionUniqueName="[CarSales]" displayFolder="" count="0" memberValueDatatype="130" unbalanced="0"/>
    <cacheHierarchy uniqueName="[CarSales].[Sales_in_thousands]" caption="Sales_in_thousands" attribute="1" defaultMemberUniqueName="[CarSales].[Sales_in_thousands].[All]" allUniqueName="[CarSales].[Sales_in_thousands].[All]" dimensionUniqueName="[CarSales]" displayFolder="" count="0" memberValueDatatype="5" unbalanced="0"/>
    <cacheHierarchy uniqueName="[CarSales].[__year_resale_value]" caption="__year_resale_value" attribute="1" defaultMemberUniqueName="[CarSales].[__year_resale_value].[All]" allUniqueName="[CarSales].[__year_resale_value].[All]" dimensionUniqueName="[CarSales]" displayFolder="" count="0" memberValueDatatype="5" unbalanced="0"/>
    <cacheHierarchy uniqueName="[CarSales].[Vehicle_type]" caption="Vehicle_type" attribute="1" defaultMemberUniqueName="[CarSales].[Vehicle_type].[All]" allUniqueName="[CarSales].[Vehicle_type].[All]" dimensionUniqueName="[CarSales]" displayFolder="" count="2" memberValueDatatype="130" unbalanced="0">
      <fieldsUsage count="2">
        <fieldUsage x="-1"/>
        <fieldUsage x="0"/>
      </fieldsUsage>
    </cacheHierarchy>
    <cacheHierarchy uniqueName="[CarSales].[Price_in_thousands]" caption="Price_in_thousands" attribute="1" defaultMemberUniqueName="[CarSales].[Price_in_thousands].[All]" allUniqueName="[CarSales].[Price_in_thousands].[All]" dimensionUniqueName="[CarSales]" displayFolder="" count="0" memberValueDatatype="5" unbalanced="0"/>
    <cacheHierarchy uniqueName="[CarSales].[Engine_size]" caption="Engine_size" attribute="1" defaultMemberUniqueName="[CarSales].[Engine_size].[All]" allUniqueName="[CarSales].[Engine_size].[All]" dimensionUniqueName="[CarSales]" displayFolder="" count="0" memberValueDatatype="5" unbalanced="0"/>
    <cacheHierarchy uniqueName="[CarSales].[Horsepower]" caption="Horsepower" attribute="1" defaultMemberUniqueName="[CarSales].[Horsepower].[All]" allUniqueName="[CarSales].[Horsepower].[All]" dimensionUniqueName="[CarSales]" displayFolder="" count="0" memberValueDatatype="5" unbalanced="0"/>
    <cacheHierarchy uniqueName="[CarSales].[Wheelbase]" caption="Wheelbase" attribute="1" defaultMemberUniqueName="[CarSales].[Wheelbase].[All]" allUniqueName="[CarSales].[Wheelbase].[All]" dimensionUniqueName="[CarSales]" displayFolder="" count="0" memberValueDatatype="5" unbalanced="0"/>
    <cacheHierarchy uniqueName="[CarSales].[Width]" caption="Width" attribute="1" defaultMemberUniqueName="[CarSales].[Width].[All]" allUniqueName="[CarSales].[Width].[All]" dimensionUniqueName="[CarSales]" displayFolder="" count="0" memberValueDatatype="5" unbalanced="0"/>
    <cacheHierarchy uniqueName="[CarSales].[Length]" caption="Length" attribute="1" defaultMemberUniqueName="[CarSales].[Length].[All]" allUniqueName="[CarSales].[Length].[All]" dimensionUniqueName="[CarSales]" displayFolder="" count="0" memberValueDatatype="5" unbalanced="0"/>
    <cacheHierarchy uniqueName="[CarSales].[Curb_weight]" caption="Curb_weight" attribute="1" defaultMemberUniqueName="[CarSales].[Curb_weight].[All]" allUniqueName="[CarSales].[Curb_weight].[All]" dimensionUniqueName="[CarSales]" displayFolder="" count="0" memberValueDatatype="5" unbalanced="0"/>
    <cacheHierarchy uniqueName="[CarSales].[Fuel_capacity]" caption="Fuel_capacity" attribute="1" defaultMemberUniqueName="[CarSales].[Fuel_capacity].[All]" allUniqueName="[CarSales].[Fuel_capacity].[All]" dimensionUniqueName="[CarSales]" displayFolder="" count="0" memberValueDatatype="5" unbalanced="0"/>
    <cacheHierarchy uniqueName="[CarSales].[Fuel_efficiency]" caption="Fuel_efficiency" attribute="1" defaultMemberUniqueName="[CarSales].[Fuel_efficiency].[All]" allUniqueName="[CarSales].[Fuel_efficiency].[All]" dimensionUniqueName="[CarSales]" displayFolder="" count="0" memberValueDatatype="20" unbalanced="0"/>
    <cacheHierarchy uniqueName="[CarSales].[Latest_Launch]" caption="Latest_Launch" attribute="1" time="1" defaultMemberUniqueName="[CarSales].[Latest_Launch].[All]" allUniqueName="[CarSales].[Latest_Launch].[All]" dimensionUniqueName="[CarSales]" displayFolder="" count="0" memberValueDatatype="7" unbalanced="0"/>
    <cacheHierarchy uniqueName="[CarSales].[Power_perf_factor]" caption="Power_perf_factor" attribute="1" defaultMemberUniqueName="[CarSales].[Power_perf_factor].[All]" allUniqueName="[CarSales].[Power_perf_factor].[All]" dimensionUniqueName="[CarSales]" displayFolder="" count="0" memberValueDatatype="5" unbalanced="0"/>
    <cacheHierarchy uniqueName="[Measures].[__XL_Count CarSales]" caption="__XL_Count CarSales" measure="1" displayFolder="" measureGroup="CarSales" count="0" hidden="1"/>
    <cacheHierarchy uniqueName="[Measures].[__No measures defined]" caption="__No measures defined" measure="1" displayFolder="" count="0" hidden="1"/>
    <cacheHierarchy uniqueName="[Measures].[Sum of Sales_in_thousands]" caption="Sum of Sales_in_thousands" measure="1" displayFolder="" measureGroup="Car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_in_thousands]" caption="Sum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rice_in_thousands]" caption="Average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uel_efficiency]" caption="Sum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el_efficiency]" caption="Average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CarSales" uniqueName="[CarSales]" caption="CarSales"/>
    <dimension measure="1" name="Measures" uniqueName="[Measures]" caption="Measures"/>
  </dimensions>
  <measureGroups count="1">
    <measureGroup name="CarSales" caption="Car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oni Hansda" refreshedDate="46239.75669652778" backgroundQuery="1" createdVersion="8" refreshedVersion="8" minRefreshableVersion="3" recordCount="0" supportSubquery="1" supportAdvancedDrill="1" xr:uid="{4359A9A2-BE6A-4127-9349-75257AA69A59}">
  <cacheSource type="external" connectionId="1"/>
  <cacheFields count="2">
    <cacheField name="[CarSales].[Vehicle_type].[Vehicle_type]" caption="Vehicle_type" numFmtId="0" hierarchy="4" level="1">
      <sharedItems count="2">
        <s v="Car"/>
        <s v="Passenger"/>
      </sharedItems>
    </cacheField>
    <cacheField name="[Measures].[Average of Price_in_thousands]" caption="Average of Price_in_thousands" numFmtId="0" hierarchy="20" level="32767"/>
  </cacheFields>
  <cacheHierarchies count="23">
    <cacheHierarchy uniqueName="[CarSales].[Manufacturer]" caption="Manufacturer" attribute="1" defaultMemberUniqueName="[CarSales].[Manufacturer].[All]" allUniqueName="[CarSales].[Manufacturer].[All]" dimensionUniqueName="[CarSales]" displayFolder="" count="0" memberValueDatatype="130" unbalanced="0"/>
    <cacheHierarchy uniqueName="[CarSales].[Model]" caption="Model" attribute="1" defaultMemberUniqueName="[CarSales].[Model].[All]" allUniqueName="[CarSales].[Model].[All]" dimensionUniqueName="[CarSales]" displayFolder="" count="0" memberValueDatatype="130" unbalanced="0"/>
    <cacheHierarchy uniqueName="[CarSales].[Sales_in_thousands]" caption="Sales_in_thousands" attribute="1" defaultMemberUniqueName="[CarSales].[Sales_in_thousands].[All]" allUniqueName="[CarSales].[Sales_in_thousands].[All]" dimensionUniqueName="[CarSales]" displayFolder="" count="0" memberValueDatatype="5" unbalanced="0"/>
    <cacheHierarchy uniqueName="[CarSales].[__year_resale_value]" caption="__year_resale_value" attribute="1" defaultMemberUniqueName="[CarSales].[__year_resale_value].[All]" allUniqueName="[CarSales].[__year_resale_value].[All]" dimensionUniqueName="[CarSales]" displayFolder="" count="0" memberValueDatatype="5" unbalanced="0"/>
    <cacheHierarchy uniqueName="[CarSales].[Vehicle_type]" caption="Vehicle_type" attribute="1" defaultMemberUniqueName="[CarSales].[Vehicle_type].[All]" allUniqueName="[CarSales].[Vehicle_type].[All]" dimensionUniqueName="[CarSales]" displayFolder="" count="2" memberValueDatatype="130" unbalanced="0">
      <fieldsUsage count="2">
        <fieldUsage x="-1"/>
        <fieldUsage x="0"/>
      </fieldsUsage>
    </cacheHierarchy>
    <cacheHierarchy uniqueName="[CarSales].[Price_in_thousands]" caption="Price_in_thousands" attribute="1" defaultMemberUniqueName="[CarSales].[Price_in_thousands].[All]" allUniqueName="[CarSales].[Price_in_thousands].[All]" dimensionUniqueName="[CarSales]" displayFolder="" count="0" memberValueDatatype="5" unbalanced="0"/>
    <cacheHierarchy uniqueName="[CarSales].[Engine_size]" caption="Engine_size" attribute="1" defaultMemberUniqueName="[CarSales].[Engine_size].[All]" allUniqueName="[CarSales].[Engine_size].[All]" dimensionUniqueName="[CarSales]" displayFolder="" count="0" memberValueDatatype="5" unbalanced="0"/>
    <cacheHierarchy uniqueName="[CarSales].[Horsepower]" caption="Horsepower" attribute="1" defaultMemberUniqueName="[CarSales].[Horsepower].[All]" allUniqueName="[CarSales].[Horsepower].[All]" dimensionUniqueName="[CarSales]" displayFolder="" count="0" memberValueDatatype="5" unbalanced="0"/>
    <cacheHierarchy uniqueName="[CarSales].[Wheelbase]" caption="Wheelbase" attribute="1" defaultMemberUniqueName="[CarSales].[Wheelbase].[All]" allUniqueName="[CarSales].[Wheelbase].[All]" dimensionUniqueName="[CarSales]" displayFolder="" count="0" memberValueDatatype="5" unbalanced="0"/>
    <cacheHierarchy uniqueName="[CarSales].[Width]" caption="Width" attribute="1" defaultMemberUniqueName="[CarSales].[Width].[All]" allUniqueName="[CarSales].[Width].[All]" dimensionUniqueName="[CarSales]" displayFolder="" count="0" memberValueDatatype="5" unbalanced="0"/>
    <cacheHierarchy uniqueName="[CarSales].[Length]" caption="Length" attribute="1" defaultMemberUniqueName="[CarSales].[Length].[All]" allUniqueName="[CarSales].[Length].[All]" dimensionUniqueName="[CarSales]" displayFolder="" count="0" memberValueDatatype="5" unbalanced="0"/>
    <cacheHierarchy uniqueName="[CarSales].[Curb_weight]" caption="Curb_weight" attribute="1" defaultMemberUniqueName="[CarSales].[Curb_weight].[All]" allUniqueName="[CarSales].[Curb_weight].[All]" dimensionUniqueName="[CarSales]" displayFolder="" count="0" memberValueDatatype="5" unbalanced="0"/>
    <cacheHierarchy uniqueName="[CarSales].[Fuel_capacity]" caption="Fuel_capacity" attribute="1" defaultMemberUniqueName="[CarSales].[Fuel_capacity].[All]" allUniqueName="[CarSales].[Fuel_capacity].[All]" dimensionUniqueName="[CarSales]" displayFolder="" count="0" memberValueDatatype="5" unbalanced="0"/>
    <cacheHierarchy uniqueName="[CarSales].[Fuel_efficiency]" caption="Fuel_efficiency" attribute="1" defaultMemberUniqueName="[CarSales].[Fuel_efficiency].[All]" allUniqueName="[CarSales].[Fuel_efficiency].[All]" dimensionUniqueName="[CarSales]" displayFolder="" count="0" memberValueDatatype="20" unbalanced="0"/>
    <cacheHierarchy uniqueName="[CarSales].[Latest_Launch]" caption="Latest_Launch" attribute="1" time="1" defaultMemberUniqueName="[CarSales].[Latest_Launch].[All]" allUniqueName="[CarSales].[Latest_Launch].[All]" dimensionUniqueName="[CarSales]" displayFolder="" count="0" memberValueDatatype="7" unbalanced="0"/>
    <cacheHierarchy uniqueName="[CarSales].[Power_perf_factor]" caption="Power_perf_factor" attribute="1" defaultMemberUniqueName="[CarSales].[Power_perf_factor].[All]" allUniqueName="[CarSales].[Power_perf_factor].[All]" dimensionUniqueName="[CarSales]" displayFolder="" count="0" memberValueDatatype="5" unbalanced="0"/>
    <cacheHierarchy uniqueName="[Measures].[__XL_Count CarSales]" caption="__XL_Count CarSales" measure="1" displayFolder="" measureGroup="CarSales" count="0" hidden="1"/>
    <cacheHierarchy uniqueName="[Measures].[__No measures defined]" caption="__No measures defined" measure="1" displayFolder="" count="0" hidden="1"/>
    <cacheHierarchy uniqueName="[Measures].[Sum of Sales_in_thousands]" caption="Sum of Sales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_in_thousands]" caption="Sum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rice_in_thousands]" caption="Average of Price_in_thousands" measure="1" displayFolder="" measureGroup="Car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uel_efficiency]" caption="Sum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el_efficiency]" caption="Average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CarSales" uniqueName="[CarSales]" caption="CarSales"/>
    <dimension measure="1" name="Measures" uniqueName="[Measures]" caption="Measures"/>
  </dimensions>
  <measureGroups count="1">
    <measureGroup name="CarSales" caption="Car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oni Hansda" refreshedDate="46239.75014837963" backgroundQuery="1" createdVersion="8" refreshedVersion="8" minRefreshableVersion="3" recordCount="0" supportSubquery="1" supportAdvancedDrill="1" xr:uid="{E8069EC5-758C-4345-8130-7847C55A25F1}">
  <cacheSource type="external" connectionId="1"/>
  <cacheFields count="2">
    <cacheField name="[CarSales].[Manufacturer].[Manufacturer]" caption="Manufacturer" numFmtId="0" level="1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ercedes-B"/>
        <s v="Mercury"/>
        <s v="Mitsubishi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[Measures].[Sum of Sales_in_thousands]" caption="Sum of Sales_in_thousands" numFmtId="0" hierarchy="18" level="32767"/>
  </cacheFields>
  <cacheHierarchies count="23">
    <cacheHierarchy uniqueName="[CarSales].[Manufacturer]" caption="Manufacturer" attribute="1" defaultMemberUniqueName="[CarSales].[Manufacturer].[All]" allUniqueName="[CarSales].[Manufacturer].[All]" dimensionUniqueName="[CarSales]" displayFolder="" count="2" memberValueDatatype="130" unbalanced="0">
      <fieldsUsage count="2">
        <fieldUsage x="-1"/>
        <fieldUsage x="0"/>
      </fieldsUsage>
    </cacheHierarchy>
    <cacheHierarchy uniqueName="[CarSales].[Model]" caption="Model" attribute="1" defaultMemberUniqueName="[CarSales].[Model].[All]" allUniqueName="[CarSales].[Model].[All]" dimensionUniqueName="[CarSales]" displayFolder="" count="0" memberValueDatatype="130" unbalanced="0"/>
    <cacheHierarchy uniqueName="[CarSales].[Sales_in_thousands]" caption="Sales_in_thousands" attribute="1" defaultMemberUniqueName="[CarSales].[Sales_in_thousands].[All]" allUniqueName="[CarSales].[Sales_in_thousands].[All]" dimensionUniqueName="[CarSales]" displayFolder="" count="0" memberValueDatatype="5" unbalanced="0"/>
    <cacheHierarchy uniqueName="[CarSales].[__year_resale_value]" caption="__year_resale_value" attribute="1" defaultMemberUniqueName="[CarSales].[__year_resale_value].[All]" allUniqueName="[CarSales].[__year_resale_value].[All]" dimensionUniqueName="[CarSales]" displayFolder="" count="0" memberValueDatatype="5" unbalanced="0"/>
    <cacheHierarchy uniqueName="[CarSales].[Vehicle_type]" caption="Vehicle_type" attribute="1" defaultMemberUniqueName="[CarSales].[Vehicle_type].[All]" allUniqueName="[CarSales].[Vehicle_type].[All]" dimensionUniqueName="[CarSales]" displayFolder="" count="0" memberValueDatatype="130" unbalanced="0"/>
    <cacheHierarchy uniqueName="[CarSales].[Price_in_thousands]" caption="Price_in_thousands" attribute="1" defaultMemberUniqueName="[CarSales].[Price_in_thousands].[All]" allUniqueName="[CarSales].[Price_in_thousands].[All]" dimensionUniqueName="[CarSales]" displayFolder="" count="0" memberValueDatatype="5" unbalanced="0"/>
    <cacheHierarchy uniqueName="[CarSales].[Engine_size]" caption="Engine_size" attribute="1" defaultMemberUniqueName="[CarSales].[Engine_size].[All]" allUniqueName="[CarSales].[Engine_size].[All]" dimensionUniqueName="[CarSales]" displayFolder="" count="0" memberValueDatatype="5" unbalanced="0"/>
    <cacheHierarchy uniqueName="[CarSales].[Horsepower]" caption="Horsepower" attribute="1" defaultMemberUniqueName="[CarSales].[Horsepower].[All]" allUniqueName="[CarSales].[Horsepower].[All]" dimensionUniqueName="[CarSales]" displayFolder="" count="0" memberValueDatatype="5" unbalanced="0"/>
    <cacheHierarchy uniqueName="[CarSales].[Wheelbase]" caption="Wheelbase" attribute="1" defaultMemberUniqueName="[CarSales].[Wheelbase].[All]" allUniqueName="[CarSales].[Wheelbase].[All]" dimensionUniqueName="[CarSales]" displayFolder="" count="0" memberValueDatatype="5" unbalanced="0"/>
    <cacheHierarchy uniqueName="[CarSales].[Width]" caption="Width" attribute="1" defaultMemberUniqueName="[CarSales].[Width].[All]" allUniqueName="[CarSales].[Width].[All]" dimensionUniqueName="[CarSales]" displayFolder="" count="0" memberValueDatatype="5" unbalanced="0"/>
    <cacheHierarchy uniqueName="[CarSales].[Length]" caption="Length" attribute="1" defaultMemberUniqueName="[CarSales].[Length].[All]" allUniqueName="[CarSales].[Length].[All]" dimensionUniqueName="[CarSales]" displayFolder="" count="0" memberValueDatatype="5" unbalanced="0"/>
    <cacheHierarchy uniqueName="[CarSales].[Curb_weight]" caption="Curb_weight" attribute="1" defaultMemberUniqueName="[CarSales].[Curb_weight].[All]" allUniqueName="[CarSales].[Curb_weight].[All]" dimensionUniqueName="[CarSales]" displayFolder="" count="0" memberValueDatatype="5" unbalanced="0"/>
    <cacheHierarchy uniqueName="[CarSales].[Fuel_capacity]" caption="Fuel_capacity" attribute="1" defaultMemberUniqueName="[CarSales].[Fuel_capacity].[All]" allUniqueName="[CarSales].[Fuel_capacity].[All]" dimensionUniqueName="[CarSales]" displayFolder="" count="0" memberValueDatatype="5" unbalanced="0"/>
    <cacheHierarchy uniqueName="[CarSales].[Fuel_efficiency]" caption="Fuel_efficiency" attribute="1" defaultMemberUniqueName="[CarSales].[Fuel_efficiency].[All]" allUniqueName="[CarSales].[Fuel_efficiency].[All]" dimensionUniqueName="[CarSales]" displayFolder="" count="0" memberValueDatatype="20" unbalanced="0"/>
    <cacheHierarchy uniqueName="[CarSales].[Latest_Launch]" caption="Latest_Launch" attribute="1" time="1" defaultMemberUniqueName="[CarSales].[Latest_Launch].[All]" allUniqueName="[CarSales].[Latest_Launch].[All]" dimensionUniqueName="[CarSales]" displayFolder="" count="0" memberValueDatatype="7" unbalanced="0"/>
    <cacheHierarchy uniqueName="[CarSales].[Power_perf_factor]" caption="Power_perf_factor" attribute="1" defaultMemberUniqueName="[CarSales].[Power_perf_factor].[All]" allUniqueName="[CarSales].[Power_perf_factor].[All]" dimensionUniqueName="[CarSales]" displayFolder="" count="0" memberValueDatatype="5" unbalanced="0"/>
    <cacheHierarchy uniqueName="[Measures].[__XL_Count CarSales]" caption="__XL_Count CarSales" measure="1" displayFolder="" measureGroup="CarSales" count="0" hidden="1"/>
    <cacheHierarchy uniqueName="[Measures].[__No measures defined]" caption="__No measures defined" measure="1" displayFolder="" count="0" hidden="1"/>
    <cacheHierarchy uniqueName="[Measures].[Sum of Sales_in_thousands]" caption="Sum of Sales_in_thousands" measure="1" displayFolder="" measureGroup="Car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_in_thousands]" caption="Sum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rice_in_thousands]" caption="Average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uel_efficiency]" caption="Sum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el_efficiency]" caption="Average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CarSales" uniqueName="[CarSales]" caption="CarSales"/>
    <dimension measure="1" name="Measures" uniqueName="[Measures]" caption="Measures"/>
  </dimensions>
  <measureGroups count="1">
    <measureGroup name="CarSales" caption="Car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oni Hansda" refreshedDate="46239.779969212963" backgroundQuery="1" createdVersion="8" refreshedVersion="8" minRefreshableVersion="3" recordCount="0" supportSubquery="1" supportAdvancedDrill="1" xr:uid="{7594CBB2-0FD2-47B9-90E9-539131A57849}">
  <cacheSource type="external" connectionId="1"/>
  <cacheFields count="2">
    <cacheField name="[CarSales].[Manufacturer].[Manufacturer]" caption="Manufacturer" numFmtId="0" level="1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ercedes-B"/>
        <s v="Mercury"/>
        <s v="Mitsubishi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[Measures].[Average of Fuel_efficiency]" caption="Average of Fuel_efficiency" numFmtId="0" hierarchy="22" level="32767"/>
  </cacheFields>
  <cacheHierarchies count="23">
    <cacheHierarchy uniqueName="[CarSales].[Manufacturer]" caption="Manufacturer" attribute="1" defaultMemberUniqueName="[CarSales].[Manufacturer].[All]" allUniqueName="[CarSales].[Manufacturer].[All]" dimensionUniqueName="[CarSales]" displayFolder="" count="2" memberValueDatatype="130" unbalanced="0">
      <fieldsUsage count="2">
        <fieldUsage x="-1"/>
        <fieldUsage x="0"/>
      </fieldsUsage>
    </cacheHierarchy>
    <cacheHierarchy uniqueName="[CarSales].[Model]" caption="Model" attribute="1" defaultMemberUniqueName="[CarSales].[Model].[All]" allUniqueName="[CarSales].[Model].[All]" dimensionUniqueName="[CarSales]" displayFolder="" count="0" memberValueDatatype="130" unbalanced="0"/>
    <cacheHierarchy uniqueName="[CarSales].[Sales_in_thousands]" caption="Sales_in_thousands" attribute="1" defaultMemberUniqueName="[CarSales].[Sales_in_thousands].[All]" allUniqueName="[CarSales].[Sales_in_thousands].[All]" dimensionUniqueName="[CarSales]" displayFolder="" count="0" memberValueDatatype="5" unbalanced="0"/>
    <cacheHierarchy uniqueName="[CarSales].[__year_resale_value]" caption="__year_resale_value" attribute="1" defaultMemberUniqueName="[CarSales].[__year_resale_value].[All]" allUniqueName="[CarSales].[__year_resale_value].[All]" dimensionUniqueName="[CarSales]" displayFolder="" count="0" memberValueDatatype="5" unbalanced="0"/>
    <cacheHierarchy uniqueName="[CarSales].[Vehicle_type]" caption="Vehicle_type" attribute="1" defaultMemberUniqueName="[CarSales].[Vehicle_type].[All]" allUniqueName="[CarSales].[Vehicle_type].[All]" dimensionUniqueName="[CarSales]" displayFolder="" count="0" memberValueDatatype="130" unbalanced="0"/>
    <cacheHierarchy uniqueName="[CarSales].[Price_in_thousands]" caption="Price_in_thousands" attribute="1" defaultMemberUniqueName="[CarSales].[Price_in_thousands].[All]" allUniqueName="[CarSales].[Price_in_thousands].[All]" dimensionUniqueName="[CarSales]" displayFolder="" count="0" memberValueDatatype="5" unbalanced="0"/>
    <cacheHierarchy uniqueName="[CarSales].[Engine_size]" caption="Engine_size" attribute="1" defaultMemberUniqueName="[CarSales].[Engine_size].[All]" allUniqueName="[CarSales].[Engine_size].[All]" dimensionUniqueName="[CarSales]" displayFolder="" count="0" memberValueDatatype="5" unbalanced="0"/>
    <cacheHierarchy uniqueName="[CarSales].[Horsepower]" caption="Horsepower" attribute="1" defaultMemberUniqueName="[CarSales].[Horsepower].[All]" allUniqueName="[CarSales].[Horsepower].[All]" dimensionUniqueName="[CarSales]" displayFolder="" count="0" memberValueDatatype="5" unbalanced="0"/>
    <cacheHierarchy uniqueName="[CarSales].[Wheelbase]" caption="Wheelbase" attribute="1" defaultMemberUniqueName="[CarSales].[Wheelbase].[All]" allUniqueName="[CarSales].[Wheelbase].[All]" dimensionUniqueName="[CarSales]" displayFolder="" count="0" memberValueDatatype="5" unbalanced="0"/>
    <cacheHierarchy uniqueName="[CarSales].[Width]" caption="Width" attribute="1" defaultMemberUniqueName="[CarSales].[Width].[All]" allUniqueName="[CarSales].[Width].[All]" dimensionUniqueName="[CarSales]" displayFolder="" count="0" memberValueDatatype="5" unbalanced="0"/>
    <cacheHierarchy uniqueName="[CarSales].[Length]" caption="Length" attribute="1" defaultMemberUniqueName="[CarSales].[Length].[All]" allUniqueName="[CarSales].[Length].[All]" dimensionUniqueName="[CarSales]" displayFolder="" count="0" memberValueDatatype="5" unbalanced="0"/>
    <cacheHierarchy uniqueName="[CarSales].[Curb_weight]" caption="Curb_weight" attribute="1" defaultMemberUniqueName="[CarSales].[Curb_weight].[All]" allUniqueName="[CarSales].[Curb_weight].[All]" dimensionUniqueName="[CarSales]" displayFolder="" count="0" memberValueDatatype="5" unbalanced="0"/>
    <cacheHierarchy uniqueName="[CarSales].[Fuel_capacity]" caption="Fuel_capacity" attribute="1" defaultMemberUniqueName="[CarSales].[Fuel_capacity].[All]" allUniqueName="[CarSales].[Fuel_capacity].[All]" dimensionUniqueName="[CarSales]" displayFolder="" count="0" memberValueDatatype="5" unbalanced="0"/>
    <cacheHierarchy uniqueName="[CarSales].[Fuel_efficiency]" caption="Fuel_efficiency" attribute="1" defaultMemberUniqueName="[CarSales].[Fuel_efficiency].[All]" allUniqueName="[CarSales].[Fuel_efficiency].[All]" dimensionUniqueName="[CarSales]" displayFolder="" count="0" memberValueDatatype="20" unbalanced="0"/>
    <cacheHierarchy uniqueName="[CarSales].[Latest_Launch]" caption="Latest_Launch" attribute="1" time="1" defaultMemberUniqueName="[CarSales].[Latest_Launch].[All]" allUniqueName="[CarSales].[Latest_Launch].[All]" dimensionUniqueName="[CarSales]" displayFolder="" count="0" memberValueDatatype="7" unbalanced="0"/>
    <cacheHierarchy uniqueName="[CarSales].[Power_perf_factor]" caption="Power_perf_factor" attribute="1" defaultMemberUniqueName="[CarSales].[Power_perf_factor].[All]" allUniqueName="[CarSales].[Power_perf_factor].[All]" dimensionUniqueName="[CarSales]" displayFolder="" count="0" memberValueDatatype="5" unbalanced="0"/>
    <cacheHierarchy uniqueName="[Measures].[__XL_Count CarSales]" caption="__XL_Count CarSales" measure="1" displayFolder="" measureGroup="CarSales" count="0" hidden="1"/>
    <cacheHierarchy uniqueName="[Measures].[__No measures defined]" caption="__No measures defined" measure="1" displayFolder="" count="0" hidden="1"/>
    <cacheHierarchy uniqueName="[Measures].[Sum of Sales_in_thousands]" caption="Sum of Sales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_in_thousands]" caption="Sum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rice_in_thousands]" caption="Average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uel_efficiency]" caption="Sum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el_efficiency]" caption="Average of Fuel_efficiency" measure="1" displayFolder="" measureGroup="Car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CarSales" uniqueName="[CarSales]" caption="CarSales"/>
    <dimension measure="1" name="Measures" uniqueName="[Measures]" caption="Measures"/>
  </dimensions>
  <measureGroups count="1">
    <measureGroup name="CarSales" caption="Car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oni Hansda" refreshedDate="46239.783393981481" backgroundQuery="1" createdVersion="8" refreshedVersion="8" minRefreshableVersion="3" recordCount="0" supportSubquery="1" supportAdvancedDrill="1" xr:uid="{54CA01BD-7200-46AB-9243-F340822CF317}">
  <cacheSource type="external" connectionId="1"/>
  <cacheFields count="2">
    <cacheField name="[CarSales].[Manufacturer].[Manufacturer]" caption="Manufacturer" numFmtId="0" level="1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ercedes-B"/>
        <s v="Mercury"/>
        <s v="Mitsubishi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[Measures].[Average of Price_in_thousands]" caption="Average of Price_in_thousands" numFmtId="0" hierarchy="20" level="32767"/>
  </cacheFields>
  <cacheHierarchies count="23">
    <cacheHierarchy uniqueName="[CarSales].[Manufacturer]" caption="Manufacturer" attribute="1" defaultMemberUniqueName="[CarSales].[Manufacturer].[All]" allUniqueName="[CarSales].[Manufacturer].[All]" dimensionUniqueName="[CarSales]" displayFolder="" count="2" memberValueDatatype="130" unbalanced="0">
      <fieldsUsage count="2">
        <fieldUsage x="-1"/>
        <fieldUsage x="0"/>
      </fieldsUsage>
    </cacheHierarchy>
    <cacheHierarchy uniqueName="[CarSales].[Model]" caption="Model" attribute="1" defaultMemberUniqueName="[CarSales].[Model].[All]" allUniqueName="[CarSales].[Model].[All]" dimensionUniqueName="[CarSales]" displayFolder="" count="0" memberValueDatatype="130" unbalanced="0"/>
    <cacheHierarchy uniqueName="[CarSales].[Sales_in_thousands]" caption="Sales_in_thousands" attribute="1" defaultMemberUniqueName="[CarSales].[Sales_in_thousands].[All]" allUniqueName="[CarSales].[Sales_in_thousands].[All]" dimensionUniqueName="[CarSales]" displayFolder="" count="0" memberValueDatatype="5" unbalanced="0"/>
    <cacheHierarchy uniqueName="[CarSales].[__year_resale_value]" caption="__year_resale_value" attribute="1" defaultMemberUniqueName="[CarSales].[__year_resale_value].[All]" allUniqueName="[CarSales].[__year_resale_value].[All]" dimensionUniqueName="[CarSales]" displayFolder="" count="0" memberValueDatatype="5" unbalanced="0"/>
    <cacheHierarchy uniqueName="[CarSales].[Vehicle_type]" caption="Vehicle_type" attribute="1" defaultMemberUniqueName="[CarSales].[Vehicle_type].[All]" allUniqueName="[CarSales].[Vehicle_type].[All]" dimensionUniqueName="[CarSales]" displayFolder="" count="0" memberValueDatatype="130" unbalanced="0"/>
    <cacheHierarchy uniqueName="[CarSales].[Price_in_thousands]" caption="Price_in_thousands" attribute="1" defaultMemberUniqueName="[CarSales].[Price_in_thousands].[All]" allUniqueName="[CarSales].[Price_in_thousands].[All]" dimensionUniqueName="[CarSales]" displayFolder="" count="0" memberValueDatatype="5" unbalanced="0"/>
    <cacheHierarchy uniqueName="[CarSales].[Engine_size]" caption="Engine_size" attribute="1" defaultMemberUniqueName="[CarSales].[Engine_size].[All]" allUniqueName="[CarSales].[Engine_size].[All]" dimensionUniqueName="[CarSales]" displayFolder="" count="0" memberValueDatatype="5" unbalanced="0"/>
    <cacheHierarchy uniqueName="[CarSales].[Horsepower]" caption="Horsepower" attribute="1" defaultMemberUniqueName="[CarSales].[Horsepower].[All]" allUniqueName="[CarSales].[Horsepower].[All]" dimensionUniqueName="[CarSales]" displayFolder="" count="0" memberValueDatatype="5" unbalanced="0"/>
    <cacheHierarchy uniqueName="[CarSales].[Wheelbase]" caption="Wheelbase" attribute="1" defaultMemberUniqueName="[CarSales].[Wheelbase].[All]" allUniqueName="[CarSales].[Wheelbase].[All]" dimensionUniqueName="[CarSales]" displayFolder="" count="0" memberValueDatatype="5" unbalanced="0"/>
    <cacheHierarchy uniqueName="[CarSales].[Width]" caption="Width" attribute="1" defaultMemberUniqueName="[CarSales].[Width].[All]" allUniqueName="[CarSales].[Width].[All]" dimensionUniqueName="[CarSales]" displayFolder="" count="0" memberValueDatatype="5" unbalanced="0"/>
    <cacheHierarchy uniqueName="[CarSales].[Length]" caption="Length" attribute="1" defaultMemberUniqueName="[CarSales].[Length].[All]" allUniqueName="[CarSales].[Length].[All]" dimensionUniqueName="[CarSales]" displayFolder="" count="0" memberValueDatatype="5" unbalanced="0"/>
    <cacheHierarchy uniqueName="[CarSales].[Curb_weight]" caption="Curb_weight" attribute="1" defaultMemberUniqueName="[CarSales].[Curb_weight].[All]" allUniqueName="[CarSales].[Curb_weight].[All]" dimensionUniqueName="[CarSales]" displayFolder="" count="0" memberValueDatatype="5" unbalanced="0"/>
    <cacheHierarchy uniqueName="[CarSales].[Fuel_capacity]" caption="Fuel_capacity" attribute="1" defaultMemberUniqueName="[CarSales].[Fuel_capacity].[All]" allUniqueName="[CarSales].[Fuel_capacity].[All]" dimensionUniqueName="[CarSales]" displayFolder="" count="0" memberValueDatatype="5" unbalanced="0"/>
    <cacheHierarchy uniqueName="[CarSales].[Fuel_efficiency]" caption="Fuel_efficiency" attribute="1" defaultMemberUniqueName="[CarSales].[Fuel_efficiency].[All]" allUniqueName="[CarSales].[Fuel_efficiency].[All]" dimensionUniqueName="[CarSales]" displayFolder="" count="0" memberValueDatatype="20" unbalanced="0"/>
    <cacheHierarchy uniqueName="[CarSales].[Latest_Launch]" caption="Latest_Launch" attribute="1" time="1" defaultMemberUniqueName="[CarSales].[Latest_Launch].[All]" allUniqueName="[CarSales].[Latest_Launch].[All]" dimensionUniqueName="[CarSales]" displayFolder="" count="0" memberValueDatatype="7" unbalanced="0"/>
    <cacheHierarchy uniqueName="[CarSales].[Power_perf_factor]" caption="Power_perf_factor" attribute="1" defaultMemberUniqueName="[CarSales].[Power_perf_factor].[All]" allUniqueName="[CarSales].[Power_perf_factor].[All]" dimensionUniqueName="[CarSales]" displayFolder="" count="0" memberValueDatatype="5" unbalanced="0"/>
    <cacheHierarchy uniqueName="[Measures].[__XL_Count CarSales]" caption="__XL_Count CarSales" measure="1" displayFolder="" measureGroup="CarSales" count="0" hidden="1"/>
    <cacheHierarchy uniqueName="[Measures].[__No measures defined]" caption="__No measures defined" measure="1" displayFolder="" count="0" hidden="1"/>
    <cacheHierarchy uniqueName="[Measures].[Sum of Sales_in_thousands]" caption="Sum of Sales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_in_thousands]" caption="Sum of Price_in_thousands" measure="1" displayFolder="" measureGroup="CarSal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rice_in_thousands]" caption="Average of Price_in_thousands" measure="1" displayFolder="" measureGroup="Car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uel_efficiency]" caption="Sum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el_efficiency]" caption="Average of Fuel_efficiency" measure="1" displayFolder="" measureGroup="Car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CarSales" uniqueName="[CarSales]" caption="CarSales"/>
    <dimension measure="1" name="Measures" uniqueName="[Measures]" caption="Measures"/>
  </dimensions>
  <measureGroups count="1">
    <measureGroup name="CarSales" caption="Car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s v="Integra"/>
    <n v="16.919"/>
    <n v="16.36"/>
    <s v="Passenger"/>
    <n v="21.5"/>
    <n v="1.8"/>
    <n v="140"/>
    <n v="101.2"/>
    <n v="67.3"/>
    <n v="172.4"/>
    <n v="2.6389999999999998"/>
    <n v="13.2"/>
    <n v="28"/>
    <d v="2012-02-02T00:00:00"/>
    <n v="58.280149520000002"/>
  </r>
  <r>
    <x v="0"/>
    <s v="TL"/>
    <n v="39.384"/>
    <n v="19.875"/>
    <s v="Passenger"/>
    <n v="28.4"/>
    <n v="3.2"/>
    <n v="225"/>
    <n v="108.1"/>
    <n v="70.3"/>
    <n v="192.9"/>
    <n v="3.5169999999999999"/>
    <n v="17.2"/>
    <n v="25"/>
    <d v="2011-06-03T00:00:00"/>
    <n v="91.370777660000002"/>
  </r>
  <r>
    <x v="0"/>
    <s v="CL"/>
    <n v="14.114000000000001"/>
    <n v="18.225000000000001"/>
    <s v="Passenger"/>
    <n v="22.8"/>
    <n v="3.2"/>
    <n v="225"/>
    <n v="106.9"/>
    <n v="70.599999999999994"/>
    <n v="192"/>
    <n v="3.47"/>
    <n v="17.2"/>
    <n v="26"/>
    <d v="2012-01-04T00:00:00"/>
    <n v="72.03"/>
  </r>
  <r>
    <x v="0"/>
    <s v="RL"/>
    <n v="8.5879999999999992"/>
    <n v="29.725000000000001"/>
    <s v="Passenger"/>
    <n v="42"/>
    <n v="3.5"/>
    <n v="210"/>
    <n v="114.6"/>
    <n v="71.400000000000006"/>
    <n v="196.6"/>
    <n v="3.85"/>
    <n v="18"/>
    <n v="22"/>
    <d v="2011-03-10T00:00:00"/>
    <n v="91.389779329999996"/>
  </r>
  <r>
    <x v="1"/>
    <s v="A4"/>
    <n v="20.396999999999998"/>
    <n v="22.254999999999999"/>
    <s v="Passenger"/>
    <n v="23.99"/>
    <n v="1.8"/>
    <n v="150"/>
    <n v="102.6"/>
    <n v="68.2"/>
    <n v="178"/>
    <n v="2.9980000000000002"/>
    <n v="16.399999999999999"/>
    <n v="27"/>
    <d v="2011-10-08T00:00:00"/>
    <n v="62.777639200000003"/>
  </r>
  <r>
    <x v="1"/>
    <s v="A6"/>
    <n v="18.78"/>
    <n v="23.555"/>
    <s v="Passenger"/>
    <n v="33.950000000000003"/>
    <n v="2.8"/>
    <n v="200"/>
    <n v="108.7"/>
    <n v="76.099999999999994"/>
    <n v="192"/>
    <n v="3.5609999999999999"/>
    <n v="18.5"/>
    <n v="22"/>
    <d v="2011-08-09T00:00:00"/>
    <n v="84.565105020000004"/>
  </r>
  <r>
    <x v="1"/>
    <s v="A8"/>
    <n v="1.38"/>
    <n v="39"/>
    <s v="Passenger"/>
    <n v="62"/>
    <n v="4.2"/>
    <n v="310"/>
    <n v="113"/>
    <n v="74"/>
    <n v="198.2"/>
    <n v="3.9020000000000001"/>
    <n v="23.7"/>
    <n v="21"/>
    <d v="2012-02-27T00:00:00"/>
    <n v="134.65685819999999"/>
  </r>
  <r>
    <x v="2"/>
    <s v="323i"/>
    <n v="19.747"/>
    <n v="16.36"/>
    <s v="Passenger"/>
    <n v="26.99"/>
    <n v="2.5"/>
    <n v="170"/>
    <n v="107.3"/>
    <n v="68.400000000000006"/>
    <n v="176"/>
    <n v="3.1789999999999998"/>
    <n v="16.600000000000001"/>
    <n v="26"/>
    <d v="2011-06-28T00:00:00"/>
    <n v="71.191206710000003"/>
  </r>
  <r>
    <x v="2"/>
    <s v="328i"/>
    <n v="9.2309999999999999"/>
    <n v="28.675000000000001"/>
    <s v="Passenger"/>
    <n v="33.4"/>
    <n v="2.8"/>
    <n v="193"/>
    <n v="107.3"/>
    <n v="68.5"/>
    <n v="176"/>
    <n v="3.1970000000000001"/>
    <n v="16.600000000000001"/>
    <n v="24"/>
    <d v="2012-01-29T00:00:00"/>
    <n v="81.877068559999998"/>
  </r>
  <r>
    <x v="2"/>
    <s v="528i"/>
    <n v="17.527000000000001"/>
    <n v="36.125"/>
    <s v="Passenger"/>
    <n v="38.9"/>
    <n v="2.8"/>
    <n v="193"/>
    <n v="111.4"/>
    <n v="70.900000000000006"/>
    <n v="188"/>
    <n v="3.472"/>
    <n v="18.5"/>
    <n v="25"/>
    <d v="2011-04-04T00:00:00"/>
    <n v="83.998723799999993"/>
  </r>
  <r>
    <x v="3"/>
    <s v="Century"/>
    <n v="91.561000000000007"/>
    <n v="12.475"/>
    <s v="Passenger"/>
    <n v="21.975000000000001"/>
    <n v="3.1"/>
    <n v="175"/>
    <n v="109"/>
    <n v="72.7"/>
    <n v="194.6"/>
    <n v="3.3679999999999999"/>
    <n v="17.5"/>
    <n v="25"/>
    <d v="2011-11-02T00:00:00"/>
    <n v="71.181451319999994"/>
  </r>
  <r>
    <x v="3"/>
    <s v="Regal"/>
    <n v="39.35"/>
    <n v="13.74"/>
    <s v="Passenger"/>
    <n v="25.3"/>
    <n v="3.8"/>
    <n v="240"/>
    <n v="109"/>
    <n v="72.7"/>
    <n v="196.2"/>
    <n v="3.5430000000000001"/>
    <n v="17.5"/>
    <n v="23"/>
    <d v="2011-09-03T00:00:00"/>
    <n v="95.636702529999994"/>
  </r>
  <r>
    <x v="3"/>
    <s v="Park Avenue"/>
    <n v="27.850999999999999"/>
    <n v="20.190000000000001"/>
    <s v="Passenger"/>
    <n v="31.965"/>
    <n v="3.8"/>
    <n v="205"/>
    <n v="113.8"/>
    <n v="74.7"/>
    <n v="206.8"/>
    <n v="3.778"/>
    <n v="18.5"/>
    <n v="24"/>
    <d v="2012-03-23T00:00:00"/>
    <n v="85.828408249999995"/>
  </r>
  <r>
    <x v="3"/>
    <s v="LeSabre"/>
    <n v="83.257000000000005"/>
    <n v="13.36"/>
    <s v="Passenger"/>
    <n v="27.885000000000002"/>
    <n v="3.8"/>
    <n v="205"/>
    <n v="112.2"/>
    <n v="73.5"/>
    <n v="200"/>
    <n v="3.5910000000000002"/>
    <n v="17.5"/>
    <n v="25"/>
    <d v="2011-07-23T00:00:00"/>
    <n v="84.254525810000004"/>
  </r>
  <r>
    <x v="4"/>
    <s v="DeVille"/>
    <n v="63.728999999999999"/>
    <n v="22.524999999999999"/>
    <s v="Passenger"/>
    <n v="39.895000000000003"/>
    <n v="4.5999999999999996"/>
    <n v="275"/>
    <n v="115.3"/>
    <n v="74.5"/>
    <n v="207.2"/>
    <n v="3.9780000000000002"/>
    <n v="18.5"/>
    <n v="22"/>
    <d v="2012-02-23T00:00:00"/>
    <n v="113.85459760000001"/>
  </r>
  <r>
    <x v="4"/>
    <s v="Seville"/>
    <n v="15.943"/>
    <n v="27.1"/>
    <s v="Passenger"/>
    <n v="44.475000000000001"/>
    <n v="4.5999999999999996"/>
    <n v="275"/>
    <n v="112.2"/>
    <n v="75"/>
    <n v="201"/>
    <n v="3.3420000000000001"/>
    <n v="18.5"/>
    <n v="22"/>
    <d v="2011-04-29T00:00:00"/>
    <n v="115.6213578"/>
  </r>
  <r>
    <x v="4"/>
    <s v="Eldorado"/>
    <n v="6.5359999999999996"/>
    <n v="25.725000000000001"/>
    <s v="Passenger"/>
    <n v="39.664999999999999"/>
    <n v="4.5999999999999996"/>
    <n v="275"/>
    <n v="108"/>
    <n v="75.5"/>
    <n v="200.6"/>
    <n v="3.843"/>
    <n v="19"/>
    <n v="22"/>
    <d v="2011-11-27T00:00:00"/>
    <n v="113.7658739"/>
  </r>
  <r>
    <x v="4"/>
    <s v="Catera"/>
    <n v="11.185"/>
    <n v="18.225000000000001"/>
    <s v="Passenger"/>
    <n v="31.01"/>
    <n v="3"/>
    <n v="200"/>
    <n v="107.4"/>
    <n v="70.3"/>
    <n v="194.8"/>
    <n v="3.77"/>
    <n v="18"/>
    <n v="22"/>
    <d v="2011-09-28T00:00:00"/>
    <n v="83.483093580000002"/>
  </r>
  <r>
    <x v="4"/>
    <s v="Escalade"/>
    <n v="14.785"/>
    <n v="13.74"/>
    <s v="Car"/>
    <n v="46.225000000000001"/>
    <n v="5.7"/>
    <n v="255"/>
    <n v="117.5"/>
    <n v="77"/>
    <n v="201.2"/>
    <n v="5.5720000000000001"/>
    <n v="30"/>
    <n v="15"/>
    <d v="2012-04-17T00:00:00"/>
    <n v="109.5091165"/>
  </r>
  <r>
    <x v="5"/>
    <s v="Cavalier"/>
    <n v="145.51900000000001"/>
    <n v="9.25"/>
    <s v="Passenger"/>
    <n v="13.26"/>
    <n v="2.2000000000000002"/>
    <n v="115"/>
    <n v="104.1"/>
    <n v="67.900000000000006"/>
    <n v="180.9"/>
    <n v="2.6760000000000002"/>
    <n v="14.3"/>
    <n v="27"/>
    <d v="2011-08-17T00:00:00"/>
    <n v="46.363347470000001"/>
  </r>
  <r>
    <x v="5"/>
    <s v="Malibu"/>
    <n v="135.126"/>
    <n v="11.225"/>
    <s v="Passenger"/>
    <n v="16.535"/>
    <n v="3.1"/>
    <n v="170"/>
    <n v="107"/>
    <n v="69.400000000000006"/>
    <n v="190.4"/>
    <n v="3.0510000000000002"/>
    <n v="15"/>
    <n v="25"/>
    <d v="2012-03-19T00:00:00"/>
    <n v="67.314462160000005"/>
  </r>
  <r>
    <x v="5"/>
    <s v="Lumina"/>
    <n v="24.629000000000001"/>
    <n v="10.31"/>
    <s v="Passenger"/>
    <n v="18.89"/>
    <n v="3.1"/>
    <n v="175"/>
    <n v="107.5"/>
    <n v="72.5"/>
    <n v="200.9"/>
    <n v="3.33"/>
    <n v="16.600000000000001"/>
    <n v="25"/>
    <d v="2011-05-24T00:00:00"/>
    <n v="69.991395600000004"/>
  </r>
  <r>
    <x v="5"/>
    <s v="Monte Carlo"/>
    <n v="42.593000000000004"/>
    <n v="11.525"/>
    <s v="Passenger"/>
    <n v="19.39"/>
    <n v="3.4"/>
    <n v="180"/>
    <n v="110.5"/>
    <n v="72.7"/>
    <n v="197.9"/>
    <n v="3.34"/>
    <n v="17"/>
    <n v="27"/>
    <d v="2011-12-22T00:00:00"/>
    <n v="72.030917189999997"/>
  </r>
  <r>
    <x v="5"/>
    <s v="Camaro"/>
    <n v="26.402000000000001"/>
    <n v="13.025"/>
    <s v="Passenger"/>
    <n v="24.34"/>
    <n v="3.8"/>
    <n v="200"/>
    <n v="101.1"/>
    <n v="74.099999999999994"/>
    <n v="193.2"/>
    <n v="3.5"/>
    <n v="16.8"/>
    <n v="25"/>
    <d v="2011-10-23T00:00:00"/>
    <n v="81.118543329999994"/>
  </r>
  <r>
    <x v="5"/>
    <s v="Corvette"/>
    <n v="17.946999999999999"/>
    <n v="36.225000000000001"/>
    <s v="Passenger"/>
    <n v="45.704999999999998"/>
    <n v="5.7"/>
    <n v="345"/>
    <n v="104.5"/>
    <n v="73.599999999999994"/>
    <n v="179.7"/>
    <n v="3.21"/>
    <n v="19.100000000000001"/>
    <n v="22"/>
    <d v="2012-05-12T00:00:00"/>
    <n v="141.14115000000001"/>
  </r>
  <r>
    <x v="5"/>
    <s v="Prizm"/>
    <n v="32.298999999999999"/>
    <n v="9.125"/>
    <s v="Passenger"/>
    <n v="13.96"/>
    <n v="1.8"/>
    <n v="120"/>
    <n v="97.1"/>
    <n v="66.7"/>
    <n v="174.3"/>
    <n v="2.3980000000000001"/>
    <n v="13.2"/>
    <n v="33"/>
    <d v="2011-09-11T00:00:00"/>
    <n v="48.297636099999998"/>
  </r>
  <r>
    <x v="5"/>
    <s v="Metro"/>
    <n v="21.855"/>
    <n v="5.16"/>
    <s v="Passenger"/>
    <n v="9.2349999999999994"/>
    <n v="1"/>
    <n v="55"/>
    <n v="93.1"/>
    <n v="62.6"/>
    <n v="149.4"/>
    <n v="1.895"/>
    <n v="10.3"/>
    <n v="45"/>
    <d v="2012-04-13T00:00:00"/>
    <n v="23.276272330000001"/>
  </r>
  <r>
    <x v="5"/>
    <s v="Impala"/>
    <n v="107.995"/>
    <n v="11.225"/>
    <s v="Passenger"/>
    <n v="18.89"/>
    <n v="3.4"/>
    <n v="180"/>
    <n v="110.5"/>
    <n v="73"/>
    <n v="200"/>
    <n v="3.3889999999999998"/>
    <n v="17"/>
    <n v="27"/>
    <d v="2011-06-18T00:00:00"/>
    <n v="71.838039440000003"/>
  </r>
  <r>
    <x v="6"/>
    <s v="Sebring Coupe"/>
    <n v="7.8540000000000001"/>
    <n v="12.36"/>
    <s v="Passenger"/>
    <n v="19.84"/>
    <n v="2.5"/>
    <n v="163"/>
    <n v="103.7"/>
    <n v="69.7"/>
    <n v="190.9"/>
    <n v="2.9670000000000001"/>
    <n v="15.9"/>
    <n v="24"/>
    <d v="2012-01-16T00:00:00"/>
    <n v="65.957183959999995"/>
  </r>
  <r>
    <x v="6"/>
    <s v="Sebring Conv."/>
    <n v="32.774999999999999"/>
    <n v="14.18"/>
    <s v="Passenger"/>
    <n v="24.495000000000001"/>
    <n v="2.5"/>
    <n v="168"/>
    <n v="106"/>
    <n v="69.2"/>
    <n v="193"/>
    <n v="3.3319999999999999"/>
    <n v="16"/>
    <n v="24"/>
    <d v="2011-11-17T00:00:00"/>
    <n v="69.521355049999997"/>
  </r>
  <r>
    <x v="6"/>
    <s v="Concorde"/>
    <n v="31.148"/>
    <n v="13.725"/>
    <s v="Passenger"/>
    <n v="22.245000000000001"/>
    <n v="2.7"/>
    <n v="200"/>
    <n v="113"/>
    <n v="74.400000000000006"/>
    <n v="209.1"/>
    <n v="3.452"/>
    <n v="17"/>
    <n v="26"/>
    <d v="2012-06-06T00:00:00"/>
    <n v="80.02378204"/>
  </r>
  <r>
    <x v="6"/>
    <s v="Cirrus"/>
    <n v="32.305999999999997"/>
    <n v="12.64"/>
    <s v="Passenger"/>
    <n v="16.48"/>
    <n v="2"/>
    <n v="132"/>
    <n v="108"/>
    <n v="71"/>
    <n v="186"/>
    <n v="2.911"/>
    <n v="16"/>
    <n v="27"/>
    <d v="2011-10-06T00:00:00"/>
    <n v="53.566199869999998"/>
  </r>
  <r>
    <x v="6"/>
    <s v="LHS"/>
    <n v="13.462"/>
    <n v="17.324999999999999"/>
    <s v="Passenger"/>
    <n v="28.34"/>
    <n v="3.5"/>
    <n v="253"/>
    <n v="113"/>
    <n v="74.400000000000006"/>
    <n v="207.7"/>
    <n v="3.5640000000000001"/>
    <n v="17"/>
    <n v="23"/>
    <d v="2012-05-08T00:00:00"/>
    <n v="101.3292807"/>
  </r>
  <r>
    <x v="6"/>
    <s v="Town &amp; Country"/>
    <n v="53.48"/>
    <n v="19.54"/>
    <s v="Car"/>
    <n v="22.8"/>
    <n v="3"/>
    <n v="177.5"/>
    <n v="107"/>
    <n v="70.55"/>
    <n v="187.9"/>
    <n v="3.3420000000000001"/>
    <n v="17.2"/>
    <n v="24"/>
    <d v="2011-07-13T00:00:00"/>
    <n v="72.03"/>
  </r>
  <r>
    <x v="6"/>
    <s v="300M"/>
    <n v="30.696000000000002"/>
    <n v="11.225"/>
    <s v="Passenger"/>
    <n v="29.184999999999999"/>
    <n v="3.5"/>
    <n v="253"/>
    <n v="113"/>
    <n v="74.400000000000006"/>
    <n v="197.8"/>
    <n v="3.5670000000000002"/>
    <n v="17"/>
    <n v="23"/>
    <d v="2012-02-10T00:00:00"/>
    <n v="101.6552441"/>
  </r>
  <r>
    <x v="7"/>
    <s v="Neon"/>
    <n v="76.034000000000006"/>
    <n v="7.75"/>
    <s v="Passenger"/>
    <n v="12.64"/>
    <n v="2"/>
    <n v="132"/>
    <n v="105"/>
    <n v="74.400000000000006"/>
    <n v="174.4"/>
    <n v="2.5670000000000002"/>
    <n v="12.5"/>
    <n v="29"/>
    <d v="2011-12-12T00:00:00"/>
    <n v="52.084898750000001"/>
  </r>
  <r>
    <x v="7"/>
    <s v="Avenger"/>
    <n v="4.734"/>
    <n v="12.545"/>
    <s v="Passenger"/>
    <n v="19.045000000000002"/>
    <n v="2.5"/>
    <n v="163"/>
    <n v="103.7"/>
    <n v="69.099999999999994"/>
    <n v="190.2"/>
    <n v="2.879"/>
    <n v="15.9"/>
    <n v="24"/>
    <d v="2012-07-01T00:00:00"/>
    <n v="65.650508340000002"/>
  </r>
  <r>
    <x v="7"/>
    <s v="Stratus"/>
    <n v="71.186000000000007"/>
    <n v="10.185"/>
    <s v="Passenger"/>
    <n v="20.23"/>
    <n v="2.5"/>
    <n v="168"/>
    <n v="108"/>
    <n v="71"/>
    <n v="186"/>
    <n v="3.0579999999999998"/>
    <n v="16"/>
    <n v="24"/>
    <d v="2011-10-31T00:00:00"/>
    <n v="67.876107840000003"/>
  </r>
  <r>
    <x v="7"/>
    <s v="Intrepid"/>
    <n v="88.028000000000006"/>
    <n v="12.275"/>
    <s v="Passenger"/>
    <n v="22.504999999999999"/>
    <n v="2.7"/>
    <n v="202"/>
    <n v="113"/>
    <n v="74.7"/>
    <n v="203.7"/>
    <n v="3.4889999999999999"/>
    <n v="17"/>
    <n v="24"/>
    <d v="2012-06-02T00:00:00"/>
    <n v="80.831470170000003"/>
  </r>
  <r>
    <x v="7"/>
    <s v="Viper"/>
    <n v="0.91600000000000004"/>
    <n v="58.47"/>
    <s v="Passenger"/>
    <n v="69.724999999999994"/>
    <n v="8"/>
    <n v="450"/>
    <n v="96.2"/>
    <n v="75.7"/>
    <n v="176.7"/>
    <n v="3.375"/>
    <n v="19"/>
    <n v="16"/>
    <d v="2011-08-07T00:00:00"/>
    <n v="188.14432300000001"/>
  </r>
  <r>
    <x v="7"/>
    <s v="Ram Pickup"/>
    <n v="227.06100000000001"/>
    <n v="15.06"/>
    <s v="Car"/>
    <n v="19.46"/>
    <n v="5.2"/>
    <n v="230"/>
    <n v="138.69999999999999"/>
    <n v="79.3"/>
    <n v="224.2"/>
    <n v="4.47"/>
    <n v="26"/>
    <n v="17"/>
    <d v="2012-03-06T00:00:00"/>
    <n v="90.211700050000005"/>
  </r>
  <r>
    <x v="7"/>
    <s v="Ram Wagon"/>
    <n v="16.766999999999999"/>
    <n v="15.51"/>
    <s v="Car"/>
    <n v="21.315000000000001"/>
    <n v="3.9"/>
    <n v="175"/>
    <n v="109.6"/>
    <n v="78.8"/>
    <n v="192.6"/>
    <n v="4.2450000000000001"/>
    <n v="32"/>
    <n v="15"/>
    <d v="2012-01-06T00:00:00"/>
    <n v="71.135291609999996"/>
  </r>
  <r>
    <x v="7"/>
    <s v="Ram Van"/>
    <n v="31.038"/>
    <n v="13.425000000000001"/>
    <s v="Car"/>
    <n v="18.574999999999999"/>
    <n v="3.9"/>
    <n v="175"/>
    <n v="127.2"/>
    <n v="78.8"/>
    <n v="208.5"/>
    <n v="4.298"/>
    <n v="32"/>
    <n v="16"/>
    <d v="2012-07-26T00:00:00"/>
    <n v="70.078321540000005"/>
  </r>
  <r>
    <x v="7"/>
    <s v="Dakota"/>
    <n v="111.313"/>
    <n v="11.26"/>
    <s v="Car"/>
    <n v="16.98"/>
    <n v="2.5"/>
    <n v="120"/>
    <n v="131"/>
    <n v="71.5"/>
    <n v="215"/>
    <n v="3.5569999999999999"/>
    <n v="22"/>
    <n v="19"/>
    <d v="2011-11-25T00:00:00"/>
    <n v="49.64500177"/>
  </r>
  <r>
    <x v="7"/>
    <s v="Durango"/>
    <n v="101.32299999999999"/>
    <n v="10.185"/>
    <s v="Car"/>
    <n v="26.31"/>
    <n v="5.2"/>
    <n v="230"/>
    <n v="115.7"/>
    <n v="71.7"/>
    <n v="193.5"/>
    <n v="4.3940000000000001"/>
    <n v="25"/>
    <n v="17"/>
    <d v="2012-06-27T00:00:00"/>
    <n v="92.85412522"/>
  </r>
  <r>
    <x v="7"/>
    <s v="Caravan"/>
    <n v="181.749"/>
    <n v="12.025"/>
    <s v="Car"/>
    <n v="19.565000000000001"/>
    <n v="2.4"/>
    <n v="150"/>
    <n v="113.3"/>
    <n v="76.8"/>
    <n v="186.3"/>
    <n v="3.5329999999999999"/>
    <n v="20"/>
    <n v="24"/>
    <d v="2011-09-01T00:00:00"/>
    <n v="61.227000310000001"/>
  </r>
  <r>
    <x v="8"/>
    <s v="Escort"/>
    <n v="70.227000000000004"/>
    <n v="7.4249999999999998"/>
    <s v="Passenger"/>
    <n v="12.07"/>
    <n v="2"/>
    <n v="110"/>
    <n v="98.4"/>
    <n v="67"/>
    <n v="174.7"/>
    <n v="2.468"/>
    <n v="12.7"/>
    <n v="30"/>
    <d v="2012-03-31T00:00:00"/>
    <n v="44.083709460000001"/>
  </r>
  <r>
    <x v="8"/>
    <s v="Mustang"/>
    <n v="113.369"/>
    <n v="12.76"/>
    <s v="Passenger"/>
    <n v="21.56"/>
    <n v="3.8"/>
    <n v="190"/>
    <n v="101.3"/>
    <n v="73.099999999999994"/>
    <n v="183.2"/>
    <n v="3.2029999999999998"/>
    <n v="15.7"/>
    <n v="24"/>
    <d v="2012-01-31T00:00:00"/>
    <n v="76.509184559999994"/>
  </r>
  <r>
    <x v="8"/>
    <s v="Contour"/>
    <n v="35.067999999999998"/>
    <n v="8.8350000000000009"/>
    <s v="Passenger"/>
    <n v="17.035"/>
    <n v="2.5"/>
    <n v="170"/>
    <n v="106.5"/>
    <n v="69.099999999999994"/>
    <n v="184.6"/>
    <n v="2.7690000000000001"/>
    <n v="15"/>
    <n v="25"/>
    <d v="2012-08-20T00:00:00"/>
    <n v="67.351010720000005"/>
  </r>
  <r>
    <x v="8"/>
    <s v="Taurus"/>
    <n v="245.815"/>
    <n v="10.055"/>
    <s v="Passenger"/>
    <n v="17.885000000000002"/>
    <n v="3"/>
    <n v="155"/>
    <n v="108.5"/>
    <n v="73"/>
    <n v="197.6"/>
    <n v="3.3679999999999999"/>
    <n v="16"/>
    <n v="24"/>
    <d v="2011-12-20T00:00:00"/>
    <n v="62.503739500000002"/>
  </r>
  <r>
    <x v="8"/>
    <s v="Focus"/>
    <n v="175.67"/>
    <n v="11.26"/>
    <s v="Passenger"/>
    <n v="12.315"/>
    <n v="2"/>
    <n v="107"/>
    <n v="103"/>
    <n v="66.900000000000006"/>
    <n v="174.8"/>
    <n v="2.5640000000000001"/>
    <n v="13.2"/>
    <n v="30"/>
    <d v="2012-07-22T00:00:00"/>
    <n v="43.117132009999999"/>
  </r>
  <r>
    <x v="8"/>
    <s v="Crown Victoria"/>
    <n v="63.402999999999999"/>
    <n v="14.21"/>
    <s v="Passenger"/>
    <n v="22.195"/>
    <n v="4.5999999999999996"/>
    <n v="200"/>
    <n v="114.7"/>
    <n v="78.2"/>
    <n v="212"/>
    <n v="3.9079999999999999"/>
    <n v="19"/>
    <n v="21"/>
    <d v="2011-09-26T00:00:00"/>
    <n v="80.499536710000001"/>
  </r>
  <r>
    <x v="8"/>
    <s v="Explorer"/>
    <n v="276.74700000000001"/>
    <n v="16.64"/>
    <s v="Car"/>
    <n v="31.93"/>
    <n v="4"/>
    <n v="210"/>
    <n v="111.6"/>
    <n v="70.2"/>
    <n v="190.7"/>
    <n v="3.8759999999999999"/>
    <n v="21"/>
    <n v="19"/>
    <d v="2012-04-25T00:00:00"/>
    <n v="87.635495779999999"/>
  </r>
  <r>
    <x v="8"/>
    <s v="Windstar"/>
    <n v="155.78700000000001"/>
    <n v="13.175000000000001"/>
    <s v="Car"/>
    <n v="21.41"/>
    <n v="3"/>
    <n v="150"/>
    <n v="120.7"/>
    <n v="76.599999999999994"/>
    <n v="200.9"/>
    <n v="3.7610000000000001"/>
    <n v="26"/>
    <n v="21"/>
    <d v="2012-02-25T00:00:00"/>
    <n v="62.095048390000002"/>
  </r>
  <r>
    <x v="8"/>
    <s v="Expedition"/>
    <n v="125.33799999999999"/>
    <n v="23.574999999999999"/>
    <s v="Car"/>
    <n v="36.134999999999998"/>
    <n v="4.5999999999999996"/>
    <n v="240"/>
    <n v="119"/>
    <n v="78.7"/>
    <n v="204.6"/>
    <n v="4.8079999999999998"/>
    <n v="26"/>
    <n v="16"/>
    <d v="2012-09-14T00:00:00"/>
    <n v="100.0248023"/>
  </r>
  <r>
    <x v="8"/>
    <s v="Ranger"/>
    <n v="220.65"/>
    <n v="7.85"/>
    <s v="Car"/>
    <n v="12.05"/>
    <n v="2.5"/>
    <n v="119"/>
    <n v="117.5"/>
    <n v="69.400000000000006"/>
    <n v="200.7"/>
    <n v="3.0859999999999999"/>
    <n v="20"/>
    <n v="23"/>
    <d v="2012-01-14T00:00:00"/>
    <n v="47.389531310000002"/>
  </r>
  <r>
    <x v="8"/>
    <s v="F-Series"/>
    <n v="540.56100000000004"/>
    <n v="15.074999999999999"/>
    <s v="Car"/>
    <n v="26.934999999999999"/>
    <n v="4.5999999999999996"/>
    <n v="220"/>
    <n v="138.5"/>
    <n v="79.099999999999994"/>
    <n v="224.5"/>
    <n v="4.2409999999999997"/>
    <n v="25.1"/>
    <n v="18"/>
    <d v="2012-08-16T00:00:00"/>
    <n v="89.401934729999994"/>
  </r>
  <r>
    <x v="9"/>
    <s v="Civic"/>
    <n v="199.685"/>
    <n v="9.85"/>
    <s v="Passenger"/>
    <n v="12.885"/>
    <n v="1.6"/>
    <n v="106"/>
    <n v="103.2"/>
    <n v="67.099999999999994"/>
    <n v="175.1"/>
    <n v="2.339"/>
    <n v="11.9"/>
    <n v="32"/>
    <d v="2011-10-21T00:00:00"/>
    <n v="42.879097340000001"/>
  </r>
  <r>
    <x v="9"/>
    <s v="Accord"/>
    <n v="230.90199999999999"/>
    <n v="13.21"/>
    <s v="Passenger"/>
    <n v="15.35"/>
    <n v="2.2999999999999998"/>
    <n v="135"/>
    <n v="106.9"/>
    <n v="70.3"/>
    <n v="188.8"/>
    <n v="2.9319999999999999"/>
    <n v="17.100000000000001"/>
    <n v="27"/>
    <d v="2012-05-20T00:00:00"/>
    <n v="54.269548290000003"/>
  </r>
  <r>
    <x v="9"/>
    <s v="CR-V"/>
    <n v="73.203000000000003"/>
    <n v="17.71"/>
    <s v="Car"/>
    <n v="20.55"/>
    <n v="2"/>
    <n v="146"/>
    <n v="103.2"/>
    <n v="68.900000000000006"/>
    <n v="177.6"/>
    <n v="3.2189999999999999"/>
    <n v="15.3"/>
    <n v="24"/>
    <d v="2012-03-21T00:00:00"/>
    <n v="60.087966620000003"/>
  </r>
  <r>
    <x v="9"/>
    <s v="Passport"/>
    <n v="12.855"/>
    <n v="17.524999999999999"/>
    <s v="Car"/>
    <n v="26.6"/>
    <n v="3.2"/>
    <n v="205"/>
    <n v="106.4"/>
    <n v="70.400000000000006"/>
    <n v="178.2"/>
    <n v="3.8570000000000002"/>
    <n v="21.1"/>
    <n v="19"/>
    <d v="2012-10-09T00:00:00"/>
    <n v="83.602500800000001"/>
  </r>
  <r>
    <x v="9"/>
    <s v="Odyssey"/>
    <n v="76.028999999999996"/>
    <n v="19.489999999999998"/>
    <s v="Car"/>
    <n v="26"/>
    <n v="3.5"/>
    <n v="210"/>
    <n v="118.1"/>
    <n v="75.599999999999994"/>
    <n v="201.2"/>
    <n v="4.2880000000000003"/>
    <n v="20"/>
    <n v="23"/>
    <d v="2012-02-08T00:00:00"/>
    <n v="85.217691340000002"/>
  </r>
  <r>
    <x v="10"/>
    <s v="Accent"/>
    <n v="41.183999999999997"/>
    <n v="5.86"/>
    <s v="Passenger"/>
    <n v="9.6989999999999998"/>
    <n v="1.5"/>
    <n v="92"/>
    <n v="96.1"/>
    <n v="65.7"/>
    <n v="166.7"/>
    <n v="2.2400000000000002"/>
    <n v="11.9"/>
    <n v="31"/>
    <d v="2012-09-10T00:00:00"/>
    <n v="36.672283579999998"/>
  </r>
  <r>
    <x v="10"/>
    <s v="Elantra"/>
    <n v="66.691999999999993"/>
    <n v="7.8250000000000002"/>
    <s v="Passenger"/>
    <n v="11.798999999999999"/>
    <n v="2"/>
    <n v="140"/>
    <n v="100.4"/>
    <n v="66.900000000000006"/>
    <n v="174"/>
    <n v="2.6259999999999999"/>
    <n v="14.5"/>
    <n v="27"/>
    <d v="2011-11-15T00:00:00"/>
    <n v="54.590045160000003"/>
  </r>
  <r>
    <x v="10"/>
    <s v="Sonata"/>
    <n v="29.45"/>
    <n v="8.91"/>
    <s v="Passenger"/>
    <n v="14.999000000000001"/>
    <n v="2.4"/>
    <n v="148"/>
    <n v="106.3"/>
    <n v="71.599999999999994"/>
    <n v="185.4"/>
    <n v="3.0720000000000001"/>
    <n v="17.2"/>
    <n v="25"/>
    <d v="2012-06-14T00:00:00"/>
    <n v="58.758248999999999"/>
  </r>
  <r>
    <x v="11"/>
    <s v="I30"/>
    <n v="23.713000000000001"/>
    <n v="19.690000000000001"/>
    <s v="Passenger"/>
    <n v="29.465"/>
    <n v="3"/>
    <n v="227"/>
    <n v="108.3"/>
    <n v="70.2"/>
    <n v="193.7"/>
    <n v="3.3420000000000001"/>
    <n v="18.5"/>
    <n v="25"/>
    <d v="2012-04-15T00:00:00"/>
    <n v="92.436889230000006"/>
  </r>
  <r>
    <x v="12"/>
    <s v="S-Type"/>
    <n v="15.467000000000001"/>
    <n v="17.71"/>
    <s v="Passenger"/>
    <n v="42.8"/>
    <n v="3"/>
    <n v="240"/>
    <n v="114.5"/>
    <n v="71.599999999999994"/>
    <n v="191.3"/>
    <n v="3.65"/>
    <n v="18.399999999999999"/>
    <n v="21"/>
    <d v="2012-11-03T00:00:00"/>
    <n v="102.17898479999999"/>
  </r>
  <r>
    <x v="13"/>
    <s v="Wrangler"/>
    <n v="55.557000000000002"/>
    <n v="13.475"/>
    <s v="Car"/>
    <n v="14.46"/>
    <n v="2.5"/>
    <n v="120"/>
    <n v="93.4"/>
    <n v="66.7"/>
    <n v="152"/>
    <n v="3.0449999999999999"/>
    <n v="19"/>
    <n v="17"/>
    <d v="2012-03-04T00:00:00"/>
    <n v="48.672897910000003"/>
  </r>
  <r>
    <x v="13"/>
    <s v="Cherokee"/>
    <n v="80.555999999999997"/>
    <n v="13.775"/>
    <s v="Car"/>
    <n v="21.62"/>
    <n v="4"/>
    <n v="190"/>
    <n v="101.4"/>
    <n v="69.400000000000006"/>
    <n v="167.5"/>
    <n v="3.194"/>
    <n v="20"/>
    <n v="20"/>
    <d v="2012-10-05T00:00:00"/>
    <n v="76.584439619999998"/>
  </r>
  <r>
    <x v="13"/>
    <s v="Grand Cherokee"/>
    <n v="157.04"/>
    <n v="18.809999999999999"/>
    <s v="Car"/>
    <n v="26.895"/>
    <n v="4"/>
    <n v="195"/>
    <n v="105.9"/>
    <n v="72.3"/>
    <n v="181.5"/>
    <n v="3.88"/>
    <n v="20.5"/>
    <n v="19"/>
    <d v="2011-12-10T00:00:00"/>
    <n v="80.387779120000005"/>
  </r>
  <r>
    <x v="14"/>
    <s v="ES300"/>
    <n v="24.071999999999999"/>
    <n v="26.975000000000001"/>
    <s v="Passenger"/>
    <n v="31.504999999999999"/>
    <n v="3"/>
    <n v="210"/>
    <n v="105.1"/>
    <n v="70.5"/>
    <n v="190.2"/>
    <n v="3.3730000000000002"/>
    <n v="18.5"/>
    <n v="23"/>
    <d v="2012-07-09T00:00:00"/>
    <n v="87.211001039999999"/>
  </r>
  <r>
    <x v="14"/>
    <s v="GS300"/>
    <n v="12.698"/>
    <n v="32.075000000000003"/>
    <s v="Passenger"/>
    <n v="37.805"/>
    <n v="3"/>
    <n v="225"/>
    <n v="110.2"/>
    <n v="70.900000000000006"/>
    <n v="189.2"/>
    <n v="3.6379999999999999"/>
    <n v="19.8"/>
    <n v="23"/>
    <d v="2012-05-10T00:00:00"/>
    <n v="94.946698400000002"/>
  </r>
  <r>
    <x v="14"/>
    <s v="GS400"/>
    <n v="3.3340000000000001"/>
    <n v="19.690000000000001"/>
    <s v="Passenger"/>
    <n v="46.305"/>
    <n v="4"/>
    <n v="300"/>
    <n v="110.2"/>
    <n v="70.900000000000006"/>
    <n v="189.2"/>
    <n v="3.6930000000000001"/>
    <n v="19.8"/>
    <n v="21"/>
    <d v="2012-11-28T00:00:00"/>
    <n v="125.0133574"/>
  </r>
  <r>
    <x v="14"/>
    <s v="LS400"/>
    <n v="6.375"/>
    <n v="40.375"/>
    <s v="Passenger"/>
    <n v="54.005000000000003"/>
    <n v="4"/>
    <n v="290"/>
    <n v="112.2"/>
    <n v="72"/>
    <n v="196.7"/>
    <n v="3.89"/>
    <n v="22.5"/>
    <n v="22"/>
    <d v="2012-03-29T00:00:00"/>
    <n v="124.44671630000001"/>
  </r>
  <r>
    <x v="14"/>
    <s v="LX470"/>
    <n v="9.1259999999999994"/>
    <n v="13.475"/>
    <s v="Car"/>
    <n v="60.104999999999997"/>
    <n v="4.7"/>
    <n v="230"/>
    <n v="112.2"/>
    <n v="76.400000000000006"/>
    <n v="192.5"/>
    <n v="5.4009999999999998"/>
    <n v="25.4"/>
    <n v="15"/>
    <d v="2012-10-30T00:00:00"/>
    <n v="105.760458"/>
  </r>
  <r>
    <x v="14"/>
    <s v="RX300"/>
    <n v="51.238"/>
    <n v="13.775"/>
    <s v="Car"/>
    <n v="34.604999999999997"/>
    <n v="3"/>
    <n v="220"/>
    <n v="103"/>
    <n v="71.5"/>
    <n v="180.1"/>
    <n v="3.9"/>
    <n v="17.2"/>
    <n v="21"/>
    <d v="2012-01-04T00:00:00"/>
    <n v="91.943801559999997"/>
  </r>
  <r>
    <x v="15"/>
    <s v="Continental"/>
    <n v="13.798"/>
    <n v="20.524999999999999"/>
    <s v="Passenger"/>
    <n v="39.08"/>
    <n v="4.5999999999999996"/>
    <n v="275"/>
    <n v="109"/>
    <n v="73.599999999999994"/>
    <n v="208.5"/>
    <n v="3.8679999999999999"/>
    <n v="20"/>
    <n v="22"/>
    <d v="2012-08-03T00:00:00"/>
    <n v="113.5402069"/>
  </r>
  <r>
    <x v="15"/>
    <s v="Town car"/>
    <n v="48.911000000000001"/>
    <n v="21.725000000000001"/>
    <s v="Passenger"/>
    <n v="43.33"/>
    <n v="4.5999999999999996"/>
    <n v="215"/>
    <n v="117.7"/>
    <n v="78.2"/>
    <n v="215.3"/>
    <n v="4.1210000000000004"/>
    <n v="19"/>
    <n v="21"/>
    <d v="2012-06-04T00:00:00"/>
    <n v="93.957916900000001"/>
  </r>
  <r>
    <x v="15"/>
    <s v="Navigator"/>
    <n v="22.925000000000001"/>
    <n v="32.075000000000003"/>
    <s v="Car"/>
    <n v="42.66"/>
    <n v="5.4"/>
    <n v="300"/>
    <n v="119"/>
    <n v="79.900000000000006"/>
    <n v="204.8"/>
    <n v="5.3929999999999998"/>
    <n v="30"/>
    <n v="15"/>
    <d v="2012-12-23T00:00:00"/>
    <n v="123.97204670000001"/>
  </r>
  <r>
    <x v="16"/>
    <s v="Mirage"/>
    <n v="26.231999999999999"/>
    <n v="8.3249999999999993"/>
    <s v="Passenger"/>
    <n v="13.987"/>
    <n v="1.8"/>
    <n v="113"/>
    <n v="98.4"/>
    <n v="66.5"/>
    <n v="173.6"/>
    <n v="2.25"/>
    <n v="13.2"/>
    <n v="30"/>
    <d v="2012-04-23T00:00:00"/>
    <n v="45.832180559999998"/>
  </r>
  <r>
    <x v="16"/>
    <s v="Eclipse"/>
    <n v="42.540999999999997"/>
    <n v="10.395"/>
    <s v="Passenger"/>
    <n v="19.047000000000001"/>
    <n v="2.4"/>
    <n v="154"/>
    <n v="100.8"/>
    <n v="68.900000000000006"/>
    <n v="175.4"/>
    <n v="2.91"/>
    <n v="15.9"/>
    <n v="24"/>
    <d v="2012-11-24T00:00:00"/>
    <n v="62.441962349999997"/>
  </r>
  <r>
    <x v="16"/>
    <s v="Galant"/>
    <n v="55.616"/>
    <n v="10.595000000000001"/>
    <s v="Passenger"/>
    <n v="17.356999999999999"/>
    <n v="2.4"/>
    <n v="145"/>
    <n v="103.7"/>
    <n v="68.5"/>
    <n v="187.8"/>
    <n v="2.9449999999999998"/>
    <n v="16.3"/>
    <n v="25"/>
    <d v="2012-01-29T00:00:00"/>
    <n v="58.606772919999997"/>
  </r>
  <r>
    <x v="16"/>
    <s v="Diamante"/>
    <n v="5.7110000000000003"/>
    <n v="16.574999999999999"/>
    <s v="Passenger"/>
    <n v="24.997"/>
    <n v="3.5"/>
    <n v="210"/>
    <n v="107.1"/>
    <n v="70.3"/>
    <n v="194.1"/>
    <n v="3.4430000000000001"/>
    <n v="19"/>
    <n v="22"/>
    <d v="2012-08-28T00:00:00"/>
    <n v="84.83077858"/>
  </r>
  <r>
    <x v="16"/>
    <s v="3000GT"/>
    <n v="0.11"/>
    <n v="20.94"/>
    <s v="Passenger"/>
    <n v="25.45"/>
    <n v="3"/>
    <n v="161"/>
    <n v="97.2"/>
    <n v="72.400000000000006"/>
    <n v="180.3"/>
    <n v="3.1309999999999998"/>
    <n v="19.8"/>
    <n v="21"/>
    <d v="2012-06-29T00:00:00"/>
    <n v="67.544154939999999"/>
  </r>
  <r>
    <x v="16"/>
    <s v="Montero"/>
    <n v="11.337"/>
    <n v="19.125"/>
    <s v="Car"/>
    <n v="31.806999999999999"/>
    <n v="3.5"/>
    <n v="200"/>
    <n v="107.3"/>
    <n v="69.900000000000006"/>
    <n v="186.6"/>
    <n v="4.5199999999999996"/>
    <n v="24.3"/>
    <n v="18"/>
    <d v="2012-01-17T00:00:00"/>
    <n v="83.920815039999994"/>
  </r>
  <r>
    <x v="16"/>
    <s v="Montero Sport"/>
    <n v="39.347999999999999"/>
    <n v="13.88"/>
    <s v="Car"/>
    <n v="22.527000000000001"/>
    <n v="3"/>
    <n v="173"/>
    <n v="107.3"/>
    <n v="66.7"/>
    <n v="178.3"/>
    <n v="3.51"/>
    <n v="19.5"/>
    <n v="20"/>
    <d v="2012-05-18T00:00:00"/>
    <n v="70.660941789999995"/>
  </r>
  <r>
    <x v="17"/>
    <s v="Mystique"/>
    <n v="14.351000000000001"/>
    <n v="8.8000000000000007"/>
    <s v="Passenger"/>
    <n v="16.239999999999998"/>
    <n v="2"/>
    <n v="125"/>
    <n v="106.5"/>
    <n v="69.099999999999994"/>
    <n v="184.8"/>
    <n v="2.7690000000000001"/>
    <n v="15"/>
    <n v="28"/>
    <d v="2012-12-19T00:00:00"/>
    <n v="50.997747609999998"/>
  </r>
  <r>
    <x v="17"/>
    <s v="Cougar"/>
    <n v="26.529"/>
    <n v="13.89"/>
    <s v="Passenger"/>
    <n v="16.54"/>
    <n v="2"/>
    <n v="125"/>
    <n v="106.4"/>
    <n v="69.599999999999994"/>
    <n v="185"/>
    <n v="2.8919999999999999"/>
    <n v="16"/>
    <n v="30"/>
    <d v="2012-02-23T00:00:00"/>
    <n v="51.113474259999997"/>
  </r>
  <r>
    <x v="17"/>
    <s v="Sable"/>
    <n v="67.956000000000003"/>
    <n v="11.03"/>
    <s v="Passenger"/>
    <n v="19.035"/>
    <n v="3"/>
    <n v="153"/>
    <n v="108.5"/>
    <n v="73"/>
    <n v="199.7"/>
    <n v="3.379"/>
    <n v="16"/>
    <n v="24"/>
    <d v="2012-09-22T00:00:00"/>
    <n v="62.239966629999998"/>
  </r>
  <r>
    <x v="17"/>
    <s v="Grand Marquis"/>
    <n v="81.174000000000007"/>
    <n v="14.875"/>
    <s v="Passenger"/>
    <n v="22.605"/>
    <n v="4.5999999999999996"/>
    <n v="200"/>
    <n v="114.7"/>
    <n v="78.2"/>
    <n v="212"/>
    <n v="3.9580000000000002"/>
    <n v="19"/>
    <n v="21"/>
    <d v="2012-07-24T00:00:00"/>
    <n v="80.657696459999997"/>
  </r>
  <r>
    <x v="17"/>
    <s v="Mountaineer"/>
    <n v="27.609000000000002"/>
    <n v="20.43"/>
    <s v="Car"/>
    <n v="27.56"/>
    <n v="4"/>
    <n v="210"/>
    <n v="111.6"/>
    <n v="70.2"/>
    <n v="190.1"/>
    <n v="3.8759999999999999"/>
    <n v="21"/>
    <n v="18"/>
    <d v="2008-02-13T00:00:00"/>
    <n v="85.949744249999995"/>
  </r>
  <r>
    <x v="17"/>
    <s v="Villager"/>
    <n v="20.38"/>
    <n v="14.795"/>
    <s v="Car"/>
    <n v="22.51"/>
    <n v="3.3"/>
    <n v="170"/>
    <n v="112.2"/>
    <n v="74.900000000000006"/>
    <n v="194.7"/>
    <n v="3.944"/>
    <n v="20"/>
    <n v="21"/>
    <d v="2009-10-20T00:00:00"/>
    <n v="69.671460999999994"/>
  </r>
  <r>
    <x v="18"/>
    <s v="C-Class"/>
    <n v="18.391999999999999"/>
    <n v="26.05"/>
    <s v="Passenger"/>
    <n v="31.75"/>
    <n v="2.2999999999999998"/>
    <n v="185"/>
    <n v="105.9"/>
    <n v="67.7"/>
    <n v="177.4"/>
    <n v="3.25"/>
    <n v="16.399999999999999"/>
    <n v="26"/>
    <d v="2011-04-24T00:00:00"/>
    <n v="78.280730879999993"/>
  </r>
  <r>
    <x v="18"/>
    <s v="E-Class"/>
    <n v="27.602"/>
    <n v="41.45"/>
    <s v="Passenger"/>
    <n v="49.9"/>
    <n v="3.2"/>
    <n v="221"/>
    <n v="111.5"/>
    <n v="70.8"/>
    <n v="189.4"/>
    <n v="3.823"/>
    <n v="21.1"/>
    <n v="25"/>
    <d v="2011-07-12T00:00:00"/>
    <n v="98.249737499999995"/>
  </r>
  <r>
    <x v="18"/>
    <s v="S-Class"/>
    <n v="16.774000000000001"/>
    <n v="50.375"/>
    <s v="Passenger"/>
    <n v="69.7"/>
    <n v="4.3"/>
    <n v="275"/>
    <n v="121.5"/>
    <n v="73.099999999999994"/>
    <n v="203.1"/>
    <n v="4.133"/>
    <n v="23.2"/>
    <n v="21"/>
    <d v="2011-06-13T00:00:00"/>
    <n v="125.2738757"/>
  </r>
  <r>
    <x v="18"/>
    <s v="SL-Class"/>
    <n v="3.3109999999999999"/>
    <n v="58.6"/>
    <s v="Passenger"/>
    <n v="82.6"/>
    <n v="5"/>
    <n v="302"/>
    <n v="99"/>
    <n v="71.3"/>
    <n v="177.1"/>
    <n v="4.125"/>
    <n v="21.1"/>
    <n v="20"/>
    <d v="2011-03-17T00:00:00"/>
    <n v="139.98229359999999"/>
  </r>
  <r>
    <x v="18"/>
    <s v="SLK"/>
    <n v="7.9980000000000002"/>
    <n v="14.875"/>
    <s v="Passenger"/>
    <n v="38.9"/>
    <n v="2.2999999999999998"/>
    <n v="190"/>
    <n v="94.5"/>
    <n v="67.5"/>
    <n v="157.9"/>
    <n v="3.0550000000000002"/>
    <n v="15.9"/>
    <n v="26"/>
    <d v="2011-01-16T00:00:00"/>
    <n v="82.807361929999999"/>
  </r>
  <r>
    <x v="18"/>
    <s v="SLK230"/>
    <n v="1.526"/>
    <n v="20.43"/>
    <s v="Passenger"/>
    <n v="41"/>
    <n v="2.2999999999999998"/>
    <n v="185"/>
    <n v="94.5"/>
    <n v="67.5"/>
    <n v="157.30000000000001"/>
    <n v="2.9750000000000001"/>
    <n v="14"/>
    <n v="27"/>
    <d v="2011-08-06T00:00:00"/>
    <n v="81.848969240000002"/>
  </r>
  <r>
    <x v="18"/>
    <s v="CLK Coupe"/>
    <n v="11.592000000000001"/>
    <n v="14.795"/>
    <s v="Passenger"/>
    <n v="41.6"/>
    <n v="3.2"/>
    <n v="215"/>
    <n v="105.9"/>
    <n v="67.8"/>
    <n v="180.3"/>
    <n v="3.2130000000000001"/>
    <n v="16.399999999999999"/>
    <n v="26"/>
    <d v="2011-07-08T00:00:00"/>
    <n v="92.925791770000004"/>
  </r>
  <r>
    <x v="18"/>
    <s v="CL500"/>
    <n v="0.95399999999999996"/>
    <n v="26.05"/>
    <s v="Passenger"/>
    <n v="85.5"/>
    <n v="5"/>
    <n v="302"/>
    <n v="113.6"/>
    <n v="73.099999999999994"/>
    <n v="196.6"/>
    <n v="4.1150000000000002"/>
    <n v="23.2"/>
    <n v="20"/>
    <d v="2011-04-11T00:00:00"/>
    <n v="141.10098450000001"/>
  </r>
  <r>
    <x v="18"/>
    <s v="M-Class"/>
    <n v="28.975999999999999"/>
    <n v="41.45"/>
    <s v="Car"/>
    <n v="35.299999999999997"/>
    <n v="3.2"/>
    <n v="215"/>
    <n v="111"/>
    <n v="72.2"/>
    <n v="180.6"/>
    <n v="4.3869999999999996"/>
    <n v="19"/>
    <n v="20"/>
    <d v="2011-02-10T00:00:00"/>
    <n v="90.495532130000001"/>
  </r>
  <r>
    <x v="19"/>
    <s v="Sentra"/>
    <n v="42.643000000000001"/>
    <n v="8.4499999999999993"/>
    <s v="Passenger"/>
    <n v="13.499000000000001"/>
    <n v="1.8"/>
    <n v="126"/>
    <n v="99.8"/>
    <n v="67.3"/>
    <n v="177.5"/>
    <n v="2.593"/>
    <n v="13.2"/>
    <n v="30"/>
    <d v="2011-08-31T00:00:00"/>
    <n v="50.241977910000003"/>
  </r>
  <r>
    <x v="19"/>
    <s v="Altima"/>
    <n v="88.093999999999994"/>
    <n v="11.295"/>
    <s v="Passenger"/>
    <n v="20.39"/>
    <n v="2.4"/>
    <n v="155"/>
    <n v="103.1"/>
    <n v="69.099999999999994"/>
    <n v="183.5"/>
    <n v="3.012"/>
    <n v="15.9"/>
    <n v="25"/>
    <d v="2011-08-02T00:00:00"/>
    <n v="63.313727829999998"/>
  </r>
  <r>
    <x v="19"/>
    <s v="Maxima"/>
    <n v="79.852999999999994"/>
    <n v="15.125"/>
    <s v="Passenger"/>
    <n v="26.248999999999999"/>
    <n v="3"/>
    <n v="222"/>
    <n v="108.3"/>
    <n v="70.3"/>
    <n v="190.5"/>
    <n v="3.294"/>
    <n v="18.5"/>
    <n v="25"/>
    <d v="2011-05-06T00:00:00"/>
    <n v="89.427820310000001"/>
  </r>
  <r>
    <x v="19"/>
    <s v="Quest"/>
    <n v="27.308"/>
    <n v="15.38"/>
    <s v="Car"/>
    <n v="26.399000000000001"/>
    <n v="3.3"/>
    <n v="170"/>
    <n v="112.2"/>
    <n v="74.900000000000006"/>
    <n v="194.8"/>
    <n v="3.9910000000000001"/>
    <n v="20"/>
    <n v="21"/>
    <d v="2011-03-07T00:00:00"/>
    <n v="71.171664129999996"/>
  </r>
  <r>
    <x v="19"/>
    <s v="Pathfinder"/>
    <n v="42.573999999999998"/>
    <n v="17.809999999999999"/>
    <s v="Car"/>
    <n v="29.298999999999999"/>
    <n v="3.3"/>
    <n v="170"/>
    <n v="106.3"/>
    <n v="71.7"/>
    <n v="182.6"/>
    <n v="3.9470000000000001"/>
    <n v="21"/>
    <n v="19"/>
    <d v="2011-09-25T00:00:00"/>
    <n v="72.290355079999998"/>
  </r>
  <r>
    <x v="19"/>
    <s v="Xterra"/>
    <n v="54.158000000000001"/>
    <n v="26.05"/>
    <s v="Car"/>
    <n v="22.798999999999999"/>
    <n v="3.3"/>
    <n v="170"/>
    <n v="104.3"/>
    <n v="70.400000000000006"/>
    <n v="178"/>
    <n v="3.8210000000000002"/>
    <n v="19.399999999999999"/>
    <n v="18"/>
    <d v="2011-01-24T00:00:00"/>
    <n v="69.78294434"/>
  </r>
  <r>
    <x v="19"/>
    <s v="Frontier"/>
    <n v="65.004999999999995"/>
    <n v="41.45"/>
    <s v="Car"/>
    <n v="17.89"/>
    <n v="3.3"/>
    <n v="170"/>
    <n v="116.1"/>
    <n v="66.5"/>
    <n v="196.1"/>
    <n v="3.2170000000000001"/>
    <n v="19.399999999999999"/>
    <n v="18"/>
    <d v="2011-08-27T00:00:00"/>
    <n v="67.889270589999995"/>
  </r>
  <r>
    <x v="20"/>
    <s v="Cutlass"/>
    <n v="1.1120000000000001"/>
    <n v="11.24"/>
    <s v="Passenger"/>
    <n v="18.145"/>
    <n v="3.1"/>
    <n v="150"/>
    <n v="107"/>
    <n v="69.400000000000006"/>
    <n v="192"/>
    <n v="3.1019999999999999"/>
    <n v="15.2"/>
    <n v="25"/>
    <d v="2011-05-31T00:00:00"/>
    <n v="60.861611549999999"/>
  </r>
  <r>
    <x v="20"/>
    <s v="Intrigue"/>
    <n v="38.554000000000002"/>
    <n v="11.295"/>
    <s v="Passenger"/>
    <n v="24.15"/>
    <n v="3.5"/>
    <n v="215"/>
    <n v="109"/>
    <n v="73.599999999999994"/>
    <n v="195.9"/>
    <n v="3.4550000000000001"/>
    <n v="18"/>
    <n v="24"/>
    <d v="2011-04-01T00:00:00"/>
    <n v="86.272522910000006"/>
  </r>
  <r>
    <x v="20"/>
    <s v="Alero"/>
    <n v="80.254999999999995"/>
    <n v="15.125"/>
    <s v="Passenger"/>
    <n v="18.27"/>
    <n v="2.4"/>
    <n v="150"/>
    <n v="107"/>
    <n v="70.099999999999994"/>
    <n v="186.7"/>
    <n v="2.9580000000000002"/>
    <n v="15"/>
    <n v="27"/>
    <d v="2009-10-20T00:00:00"/>
    <n v="60.727446929999999"/>
  </r>
  <r>
    <x v="20"/>
    <s v="Aurora"/>
    <n v="14.69"/>
    <n v="19.89"/>
    <s v="Passenger"/>
    <n v="36.228999999999999"/>
    <n v="4"/>
    <n v="250"/>
    <n v="113.8"/>
    <n v="74.400000000000006"/>
    <n v="205.4"/>
    <n v="3.9670000000000001"/>
    <n v="18.5"/>
    <n v="22"/>
    <d v="2011-02-18T00:00:00"/>
    <n v="103.4416926"/>
  </r>
  <r>
    <x v="20"/>
    <s v="Bravada"/>
    <n v="20.016999999999999"/>
    <n v="19.925000000000001"/>
    <s v="Car"/>
    <n v="31.597999999999999"/>
    <n v="4.3"/>
    <n v="190"/>
    <n v="107"/>
    <n v="67.8"/>
    <n v="181.2"/>
    <n v="4.0679999999999996"/>
    <n v="17.5"/>
    <n v="19"/>
    <d v="2011-09-21T00:00:00"/>
    <n v="80.511672590000003"/>
  </r>
  <r>
    <x v="20"/>
    <s v="Silhouette"/>
    <n v="24.361000000000001"/>
    <n v="15.24"/>
    <s v="Car"/>
    <n v="25.344999999999999"/>
    <n v="3.4"/>
    <n v="185"/>
    <n v="120"/>
    <n v="72.2"/>
    <n v="201.4"/>
    <n v="3.948"/>
    <n v="25"/>
    <n v="22"/>
    <d v="2011-06-25T00:00:00"/>
    <n v="76.096570420000006"/>
  </r>
  <r>
    <x v="21"/>
    <s v="Neon"/>
    <n v="32.734000000000002"/>
    <n v="7.75"/>
    <s v="Passenger"/>
    <n v="12.64"/>
    <n v="2"/>
    <n v="132"/>
    <n v="105"/>
    <n v="74.400000000000006"/>
    <n v="174.4"/>
    <n v="2.5590000000000002"/>
    <n v="12.5"/>
    <n v="29"/>
    <d v="2011-04-26T00:00:00"/>
    <n v="52.084898750000001"/>
  </r>
  <r>
    <x v="21"/>
    <s v="Breeze"/>
    <n v="5.24"/>
    <n v="9.8000000000000007"/>
    <s v="Passenger"/>
    <n v="16.079999999999998"/>
    <n v="2"/>
    <n v="132"/>
    <n v="108"/>
    <n v="71"/>
    <n v="186.3"/>
    <n v="2.9420000000000002"/>
    <n v="16"/>
    <n v="27"/>
    <d v="2011-11-14T00:00:00"/>
    <n v="53.411897670000002"/>
  </r>
  <r>
    <x v="21"/>
    <s v="Voyager"/>
    <n v="24.155000000000001"/>
    <n v="12.025"/>
    <s v="Car"/>
    <n v="18.850000000000001"/>
    <n v="2.4"/>
    <n v="150"/>
    <n v="113.3"/>
    <n v="76.8"/>
    <n v="186.3"/>
    <n v="3.528"/>
    <n v="20"/>
    <n v="24"/>
    <d v="2011-04-24T00:00:00"/>
    <n v="60.951185119999998"/>
  </r>
  <r>
    <x v="21"/>
    <s v="Prowler"/>
    <n v="1.8720000000000001"/>
    <n v="15.125"/>
    <s v="Passenger"/>
    <n v="43"/>
    <n v="3.5"/>
    <n v="253"/>
    <n v="113.3"/>
    <n v="76.3"/>
    <n v="165.4"/>
    <n v="2.85"/>
    <n v="12"/>
    <n v="21"/>
    <d v="2012-06-27T00:00:00"/>
    <n v="106.98445630000001"/>
  </r>
  <r>
    <x v="22"/>
    <s v="Sunfire"/>
    <n v="51.645000000000003"/>
    <n v="13.79"/>
    <s v="Passenger"/>
    <n v="21.61"/>
    <n v="2.4"/>
    <n v="150"/>
    <n v="104.1"/>
    <n v="68.400000000000006"/>
    <n v="181.9"/>
    <n v="2.9060000000000001"/>
    <n v="15"/>
    <n v="27"/>
    <d v="2012-01-25T00:00:00"/>
    <n v="62.015870300000003"/>
  </r>
  <r>
    <x v="22"/>
    <s v="Grand Am"/>
    <n v="131.09700000000001"/>
    <n v="10.29"/>
    <s v="Passenger"/>
    <n v="19.72"/>
    <n v="3.4"/>
    <n v="175"/>
    <n v="107"/>
    <n v="70.400000000000006"/>
    <n v="186.3"/>
    <n v="3.0910000000000002"/>
    <n v="15.2"/>
    <n v="25"/>
    <d v="2012-11-26T00:00:00"/>
    <n v="70.389737260000004"/>
  </r>
  <r>
    <x v="22"/>
    <s v="Firebird"/>
    <n v="19.911000000000001"/>
    <n v="17.805"/>
    <s v="Passenger"/>
    <n v="25.31"/>
    <n v="3.8"/>
    <n v="200"/>
    <n v="101.1"/>
    <n v="74.5"/>
    <n v="193.4"/>
    <n v="3.492"/>
    <n v="16.8"/>
    <n v="25"/>
    <d v="2012-06-16T00:00:00"/>
    <n v="81.492726160000004"/>
  </r>
  <r>
    <x v="22"/>
    <s v="Grand Prix"/>
    <n v="92.364000000000004"/>
    <n v="14.01"/>
    <s v="Passenger"/>
    <n v="21.664999999999999"/>
    <n v="3.8"/>
    <n v="195"/>
    <n v="110.5"/>
    <n v="72.7"/>
    <n v="196.5"/>
    <n v="3.3959999999999999"/>
    <n v="18"/>
    <n v="25"/>
    <d v="2012-10-15T00:00:00"/>
    <n v="78.318168130000004"/>
  </r>
  <r>
    <x v="22"/>
    <s v="Bonneville"/>
    <n v="35.945"/>
    <n v="13.225"/>
    <s v="Passenger"/>
    <n v="23.754999999999999"/>
    <n v="3.8"/>
    <n v="205"/>
    <n v="112.2"/>
    <n v="72.599999999999994"/>
    <n v="202.5"/>
    <n v="3.59"/>
    <n v="17.5"/>
    <n v="24"/>
    <d v="2011-05-18T00:00:00"/>
    <n v="82.661355599999993"/>
  </r>
  <r>
    <x v="22"/>
    <s v="Montana"/>
    <n v="39.572000000000003"/>
    <n v="12.025"/>
    <s v="Car"/>
    <n v="25.635000000000002"/>
    <n v="3.4"/>
    <n v="185"/>
    <n v="120"/>
    <n v="72.7"/>
    <n v="201.3"/>
    <n v="3.9420000000000002"/>
    <n v="25"/>
    <n v="23"/>
    <d v="2012-07-22T00:00:00"/>
    <n v="76.208439519999999"/>
  </r>
  <r>
    <x v="23"/>
    <s v="Boxter"/>
    <n v="8.9819999999999993"/>
    <n v="41.25"/>
    <s v="Passenger"/>
    <n v="41.43"/>
    <n v="2.7"/>
    <n v="217"/>
    <n v="95.2"/>
    <n v="70.099999999999994"/>
    <n v="171"/>
    <n v="2.778"/>
    <n v="17"/>
    <n v="22"/>
    <d v="2012-02-19T00:00:00"/>
    <n v="93.437330700000004"/>
  </r>
  <r>
    <x v="23"/>
    <s v="Carrera Coupe"/>
    <n v="1.28"/>
    <n v="60.625"/>
    <s v="Passenger"/>
    <n v="71.02"/>
    <n v="3.4"/>
    <n v="300"/>
    <n v="92.6"/>
    <n v="69.5"/>
    <n v="174.5"/>
    <n v="3.032"/>
    <n v="17"/>
    <n v="21"/>
    <d v="2012-12-21T00:00:00"/>
    <n v="134.3909754"/>
  </r>
  <r>
    <x v="23"/>
    <s v="Carrera Cabrio"/>
    <n v="1.8660000000000001"/>
    <n v="67.55"/>
    <s v="Passenger"/>
    <n v="74.97"/>
    <n v="3.4"/>
    <n v="300"/>
    <n v="92.6"/>
    <n v="69.5"/>
    <n v="174.5"/>
    <n v="3.0750000000000002"/>
    <n v="17"/>
    <n v="23"/>
    <d v="2011-07-11T00:00:00"/>
    <n v="135.91470960000001"/>
  </r>
  <r>
    <x v="24"/>
    <d v="2026-09-05T00:00:00"/>
    <n v="9.1910000000000007"/>
    <n v="17.805"/>
    <s v="Passenger"/>
    <n v="33.119999999999997"/>
    <n v="2.2999999999999998"/>
    <n v="170"/>
    <n v="106.4"/>
    <n v="70.599999999999994"/>
    <n v="189.2"/>
    <n v="3.28"/>
    <n v="18.5"/>
    <n v="23"/>
    <d v="2012-11-09T00:00:00"/>
    <n v="73.503778190000006"/>
  </r>
  <r>
    <x v="24"/>
    <d v="2026-09-03T00:00:00"/>
    <n v="12.115"/>
    <n v="14.01"/>
    <s v="Passenger"/>
    <n v="26.1"/>
    <n v="2"/>
    <n v="185"/>
    <n v="102.6"/>
    <n v="67.400000000000006"/>
    <n v="182.2"/>
    <n v="2.99"/>
    <n v="16.899999999999999"/>
    <n v="23"/>
    <d v="2011-06-12T00:00:00"/>
    <n v="76.02304771"/>
  </r>
  <r>
    <x v="25"/>
    <s v="SL"/>
    <n v="80.62"/>
    <n v="9.1999999999999993"/>
    <s v="Passenger"/>
    <n v="10.685"/>
    <n v="1.9"/>
    <n v="100"/>
    <n v="102.4"/>
    <n v="66.400000000000006"/>
    <n v="176.9"/>
    <n v="2.3319999999999999"/>
    <n v="12.1"/>
    <n v="33"/>
    <d v="2012-08-16T00:00:00"/>
    <n v="39.986424749999998"/>
  </r>
  <r>
    <x v="25"/>
    <s v="SC"/>
    <n v="24.545999999999999"/>
    <n v="10.59"/>
    <s v="Passenger"/>
    <n v="12.535"/>
    <n v="1.9"/>
    <n v="100"/>
    <n v="102.4"/>
    <n v="66.400000000000006"/>
    <n v="180"/>
    <n v="2.367"/>
    <n v="12.1"/>
    <n v="33"/>
    <d v="2011-03-16T00:00:00"/>
    <n v="40.700072419999998"/>
  </r>
  <r>
    <x v="25"/>
    <s v="SW"/>
    <n v="5.2229999999999999"/>
    <n v="10.79"/>
    <s v="Passenger"/>
    <n v="14.29"/>
    <n v="1.9"/>
    <n v="124"/>
    <n v="102.4"/>
    <n v="66.400000000000006"/>
    <n v="176.9"/>
    <n v="2.452"/>
    <n v="12.1"/>
    <n v="31"/>
    <d v="2011-01-15T00:00:00"/>
    <n v="49.865773670000003"/>
  </r>
  <r>
    <x v="25"/>
    <s v="LW"/>
    <n v="8.4719999999999995"/>
    <n v="60.625"/>
    <s v="Passenger"/>
    <n v="18.835000000000001"/>
    <n v="2.2000000000000002"/>
    <n v="137"/>
    <n v="106.5"/>
    <n v="69"/>
    <n v="190.4"/>
    <n v="3.0750000000000002"/>
    <n v="13.1"/>
    <n v="27"/>
    <d v="2011-08-05T00:00:00"/>
    <n v="56.295243040000003"/>
  </r>
  <r>
    <x v="25"/>
    <s v="LS"/>
    <n v="49.988999999999997"/>
    <n v="67.55"/>
    <s v="Passenger"/>
    <n v="15.01"/>
    <n v="2.2000000000000002"/>
    <n v="137"/>
    <n v="106.5"/>
    <n v="69"/>
    <n v="190.4"/>
    <n v="2.91"/>
    <n v="13.1"/>
    <n v="28"/>
    <d v="2012-12-04T00:00:00"/>
    <n v="54.819728249999997"/>
  </r>
  <r>
    <x v="26"/>
    <s v="Outback"/>
    <n v="47.106999999999999"/>
    <n v="17.805"/>
    <s v="Passenger"/>
    <n v="22.695"/>
    <n v="2.5"/>
    <n v="165"/>
    <n v="103.5"/>
    <n v="67.5"/>
    <n v="185.8"/>
    <n v="3.415"/>
    <n v="16.899999999999999"/>
    <n v="25"/>
    <d v="2011-07-07T00:00:00"/>
    <n v="67.765907600000006"/>
  </r>
  <r>
    <x v="26"/>
    <s v="Forester"/>
    <n v="33.027999999999999"/>
    <n v="14.01"/>
    <s v="Car"/>
    <n v="20.094999999999999"/>
    <n v="2.5"/>
    <n v="165"/>
    <n v="99.4"/>
    <n v="68.3"/>
    <n v="175.2"/>
    <n v="3.125"/>
    <n v="15.9"/>
    <n v="24"/>
    <d v="2012-09-10T00:00:00"/>
    <n v="66.762943309999997"/>
  </r>
  <r>
    <x v="27"/>
    <s v="Corolla"/>
    <n v="142.535"/>
    <n v="10.025"/>
    <s v="Passenger"/>
    <n v="13.108000000000001"/>
    <n v="1.8"/>
    <n v="120"/>
    <n v="97"/>
    <n v="66.7"/>
    <n v="174"/>
    <n v="2.42"/>
    <n v="13.2"/>
    <n v="33"/>
    <d v="2011-04-11T00:00:00"/>
    <n v="47.96897242"/>
  </r>
  <r>
    <x v="27"/>
    <s v="Camry"/>
    <n v="247.994"/>
    <n v="13.244999999999999"/>
    <s v="Passenger"/>
    <n v="17.518000000000001"/>
    <n v="2.2000000000000002"/>
    <n v="133"/>
    <n v="105.2"/>
    <n v="70.099999999999994"/>
    <n v="188.5"/>
    <n v="2.9980000000000002"/>
    <n v="18.5"/>
    <n v="27"/>
    <d v="2011-02-10T00:00:00"/>
    <n v="54.372419649999998"/>
  </r>
  <r>
    <x v="27"/>
    <s v="Avalon"/>
    <n v="63.848999999999997"/>
    <n v="18.14"/>
    <s v="Passenger"/>
    <n v="25.545000000000002"/>
    <n v="3"/>
    <n v="210"/>
    <n v="107.1"/>
    <n v="71.7"/>
    <n v="191.9"/>
    <n v="3.4169999999999998"/>
    <n v="18.5"/>
    <n v="26"/>
    <d v="2011-08-31T00:00:00"/>
    <n v="84.911898260000001"/>
  </r>
  <r>
    <x v="27"/>
    <s v="Celica"/>
    <n v="33.268999999999998"/>
    <n v="15.445"/>
    <s v="Passenger"/>
    <n v="16.875"/>
    <n v="1.8"/>
    <n v="140"/>
    <n v="102.4"/>
    <n v="68.3"/>
    <n v="170.5"/>
    <n v="2.4249999999999998"/>
    <n v="14.5"/>
    <n v="31"/>
    <d v="2012-12-29T00:00:00"/>
    <n v="56.496030339999997"/>
  </r>
  <r>
    <x v="27"/>
    <s v="Tacoma"/>
    <n v="84.087000000000003"/>
    <n v="9.5749999999999993"/>
    <s v="Car"/>
    <n v="11.528"/>
    <n v="2.4"/>
    <n v="142"/>
    <n v="103.3"/>
    <n v="66.5"/>
    <n v="178.7"/>
    <n v="2.58"/>
    <n v="15.1"/>
    <n v="23"/>
    <d v="2011-08-01T00:00:00"/>
    <n v="55.297116580000001"/>
  </r>
  <r>
    <x v="27"/>
    <s v="Sienna"/>
    <n v="65.119"/>
    <n v="17.805"/>
    <s v="Car"/>
    <n v="22.367999999999999"/>
    <n v="3"/>
    <n v="194"/>
    <n v="114.2"/>
    <n v="73.400000000000006"/>
    <n v="193.5"/>
    <n v="3.7589999999999999"/>
    <n v="20.9"/>
    <n v="22"/>
    <d v="2012-10-05T00:00:00"/>
    <n v="78.027219470000006"/>
  </r>
  <r>
    <x v="27"/>
    <s v="RAV4"/>
    <n v="25.106000000000002"/>
    <n v="13.324999999999999"/>
    <s v="Car"/>
    <n v="16.888000000000002"/>
    <n v="2"/>
    <n v="127"/>
    <n v="94.9"/>
    <n v="66.7"/>
    <n v="163.80000000000001"/>
    <n v="2.6680000000000001"/>
    <n v="15.3"/>
    <n v="27"/>
    <d v="2011-05-06T00:00:00"/>
    <n v="51.955108869999997"/>
  </r>
  <r>
    <x v="27"/>
    <s v="4Runner"/>
    <n v="68.411000000000001"/>
    <n v="19.425000000000001"/>
    <s v="Car"/>
    <n v="22.288"/>
    <n v="2.7"/>
    <n v="150"/>
    <n v="105.3"/>
    <n v="66.5"/>
    <n v="183.3"/>
    <n v="3.44"/>
    <n v="18.5"/>
    <n v="23"/>
    <d v="2011-03-07T00:00:00"/>
    <n v="62.35557713"/>
  </r>
  <r>
    <x v="27"/>
    <s v="Land Cruiser"/>
    <n v="9.8350000000000009"/>
    <n v="34.08"/>
    <s v="Car"/>
    <n v="51.728000000000002"/>
    <n v="4.7"/>
    <n v="230"/>
    <n v="112.2"/>
    <n v="76.400000000000006"/>
    <n v="192.5"/>
    <n v="5.1150000000000002"/>
    <n v="25.4"/>
    <n v="15"/>
    <d v="2011-09-25T00:00:00"/>
    <n v="102.5289842"/>
  </r>
  <r>
    <x v="28"/>
    <s v="Golf"/>
    <n v="9.7609999999999992"/>
    <n v="11.425000000000001"/>
    <s v="Passenger"/>
    <n v="14.9"/>
    <n v="2"/>
    <n v="115"/>
    <n v="98.9"/>
    <n v="68.3"/>
    <n v="163.30000000000001"/>
    <n v="2.7669999999999999"/>
    <n v="14.5"/>
    <n v="26"/>
    <d v="2011-01-24T00:00:00"/>
    <n v="46.943876760000002"/>
  </r>
  <r>
    <x v="28"/>
    <s v="Jetta"/>
    <n v="83.721000000000004"/>
    <n v="13.24"/>
    <s v="Passenger"/>
    <n v="16.7"/>
    <n v="2"/>
    <n v="115"/>
    <n v="98.9"/>
    <n v="68.3"/>
    <n v="172.3"/>
    <n v="2.8530000000000002"/>
    <n v="14.5"/>
    <n v="26"/>
    <d v="2011-08-27T00:00:00"/>
    <n v="47.638236659999997"/>
  </r>
  <r>
    <x v="28"/>
    <s v="Passat"/>
    <n v="51.101999999999997"/>
    <n v="16.725000000000001"/>
    <s v="Passenger"/>
    <n v="21.2"/>
    <n v="1.8"/>
    <n v="150"/>
    <n v="106.4"/>
    <n v="68.5"/>
    <n v="184.1"/>
    <n v="3.0430000000000001"/>
    <n v="16.399999999999999"/>
    <n v="27"/>
    <d v="2012-10-30T00:00:00"/>
    <n v="61.701381359999999"/>
  </r>
  <r>
    <x v="28"/>
    <s v="Cabrio"/>
    <n v="9.5690000000000008"/>
    <n v="16.574999999999999"/>
    <s v="Passenger"/>
    <n v="19.989999999999998"/>
    <n v="2"/>
    <n v="115"/>
    <n v="97.4"/>
    <n v="66.7"/>
    <n v="160.4"/>
    <n v="3.0790000000000002"/>
    <n v="13.7"/>
    <n v="26"/>
    <d v="2011-05-31T00:00:00"/>
    <n v="48.907372250000002"/>
  </r>
  <r>
    <x v="28"/>
    <s v="GTI"/>
    <n v="5.5960000000000001"/>
    <n v="13.76"/>
    <s v="Passenger"/>
    <n v="17.5"/>
    <n v="2"/>
    <n v="115"/>
    <n v="98.9"/>
    <n v="68.3"/>
    <n v="163.30000000000001"/>
    <n v="2.762"/>
    <n v="14.6"/>
    <n v="26"/>
    <d v="2011-04-01T00:00:00"/>
    <n v="47.946841059999997"/>
  </r>
  <r>
    <x v="28"/>
    <s v="Beetle"/>
    <n v="49.463000000000001"/>
    <n v="19.425000000000001"/>
    <s v="Passenger"/>
    <n v="15.9"/>
    <n v="2"/>
    <n v="115"/>
    <n v="98.9"/>
    <n v="67.900000000000006"/>
    <n v="161.1"/>
    <n v="2.7690000000000001"/>
    <n v="14.5"/>
    <n v="26"/>
    <d v="2011-10-20T00:00:00"/>
    <n v="47.329632259999997"/>
  </r>
  <r>
    <x v="29"/>
    <s v="S40"/>
    <n v="16.957000000000001"/>
    <n v="34.08"/>
    <s v="Passenger"/>
    <n v="23.4"/>
    <n v="1.9"/>
    <n v="160"/>
    <n v="100.5"/>
    <n v="67.599999999999994"/>
    <n v="176.6"/>
    <n v="2.9980000000000002"/>
    <n v="15.8"/>
    <n v="25"/>
    <d v="2011-02-18T00:00:00"/>
    <n v="66.113056799999995"/>
  </r>
  <r>
    <x v="29"/>
    <s v="V40"/>
    <n v="3.5449999999999999"/>
    <n v="11.425000000000001"/>
    <s v="Passenger"/>
    <n v="24.4"/>
    <n v="1.9"/>
    <n v="160"/>
    <n v="100.5"/>
    <n v="67.599999999999994"/>
    <n v="176.6"/>
    <n v="3.0419999999999998"/>
    <n v="15.8"/>
    <n v="25"/>
    <d v="2011-09-21T00:00:00"/>
    <n v="66.498812299999997"/>
  </r>
  <r>
    <x v="29"/>
    <s v="S70"/>
    <n v="15.244999999999999"/>
    <n v="13.24"/>
    <s v="Passenger"/>
    <n v="27.5"/>
    <n v="2.4"/>
    <n v="168"/>
    <n v="104.9"/>
    <n v="69.3"/>
    <n v="185.9"/>
    <n v="3.2080000000000002"/>
    <n v="17.899999999999999"/>
    <n v="25"/>
    <d v="2012-11-24T00:00:00"/>
    <n v="70.654495449999999"/>
  </r>
  <r>
    <x v="29"/>
    <s v="V70"/>
    <n v="17.530999999999999"/>
    <n v="16.725000000000001"/>
    <s v="Passenger"/>
    <n v="28.8"/>
    <n v="2.4"/>
    <n v="168"/>
    <n v="104.9"/>
    <n v="69.3"/>
    <n v="186.2"/>
    <n v="3.2589999999999999"/>
    <n v="17.899999999999999"/>
    <n v="25"/>
    <d v="2011-06-25T00:00:00"/>
    <n v="71.1559776"/>
  </r>
  <r>
    <x v="29"/>
    <s v="C70"/>
    <n v="3.4929999999999999"/>
    <n v="16.574999999999999"/>
    <s v="Passenger"/>
    <n v="45.5"/>
    <n v="2.2999999999999998"/>
    <n v="236"/>
    <n v="104.9"/>
    <n v="71.5"/>
    <n v="185.7"/>
    <n v="3.601"/>
    <n v="18.5"/>
    <n v="23"/>
    <d v="2011-04-26T00:00:00"/>
    <n v="101.6233572"/>
  </r>
  <r>
    <x v="29"/>
    <s v="S80"/>
    <n v="18.969000000000001"/>
    <n v="13.76"/>
    <s v="Passenger"/>
    <n v="36"/>
    <n v="2.9"/>
    <n v="201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862F0-841E-478A-BC0E-B5738A8AE9F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10:K41" firstHeaderRow="1" firstDataRow="1" firstDataCol="1"/>
  <pivotFields count="16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7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numFmtId="2"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numFmtId="2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Horsepower" fld="7" subtotal="average" baseField="0" baseItem="0" numFmtId="2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DB559-8E37-4F2B-8A14-680AD6080F43}" name="PivotTable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G10:H13" firstHeaderRow="1" firstDataRow="1" firstDataCol="1"/>
  <pivotFields count="2"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Sales_in_thousands" fld="1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sales.xlsx!CarSales">
        <x15:activeTabTopLevelEntity name="[Car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D3BED-21C0-4BE5-8C8F-73DAFDDA7E07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D10:E1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rice_in_thousands" fld="1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rice_in_thousand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sales.xlsx!CarSales">
        <x15:activeTabTopLevelEntity name="[Car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7D125-C701-401B-B53A-C63F2A445291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10:B41" firstHeaderRow="1" firstDataRow="1" firstDataCol="1"/>
  <pivotFields count="2">
    <pivotField axis="axisRow" allDrilled="1" subtotalTop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1">
    <i>
      <x v="8"/>
    </i>
    <i>
      <x v="7"/>
    </i>
    <i>
      <x v="27"/>
    </i>
    <i>
      <x v="9"/>
    </i>
    <i>
      <x v="5"/>
    </i>
    <i>
      <x v="19"/>
    </i>
    <i>
      <x v="22"/>
    </i>
    <i>
      <x v="13"/>
    </i>
    <i>
      <x v="3"/>
    </i>
    <i>
      <x v="17"/>
    </i>
    <i>
      <x v="28"/>
    </i>
    <i>
      <x v="6"/>
    </i>
    <i>
      <x v="18"/>
    </i>
    <i>
      <x v="20"/>
    </i>
    <i>
      <x v="25"/>
    </i>
    <i>
      <x v="10"/>
    </i>
    <i>
      <x v="16"/>
    </i>
    <i>
      <x v="4"/>
    </i>
    <i>
      <x v="14"/>
    </i>
    <i>
      <x v="15"/>
    </i>
    <i>
      <x v="26"/>
    </i>
    <i>
      <x/>
    </i>
    <i>
      <x v="29"/>
    </i>
    <i>
      <x v="21"/>
    </i>
    <i>
      <x v="2"/>
    </i>
    <i>
      <x v="1"/>
    </i>
    <i>
      <x v="11"/>
    </i>
    <i>
      <x v="24"/>
    </i>
    <i>
      <x v="12"/>
    </i>
    <i>
      <x v="23"/>
    </i>
    <i t="grand">
      <x/>
    </i>
  </rowItems>
  <colItems count="1">
    <i/>
  </colItems>
  <dataFields count="1">
    <dataField name="Sum of Sales_in_thousands" fld="1" baseField="0" baseItem="0"/>
  </dataFields>
  <formats count="1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sales.xlsx!CarSales">
        <x15:activeTabTopLevelEntity name="[Car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7C9CB-A6B7-4140-B37A-EDEF1FB6170F}" name="PivotTable10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R9:S40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Price_in_thousands" fld="1" subtotal="average" baseField="0" baseItem="0" numFmtId="2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rice_in_thousand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sales.xlsx!CarSales">
        <x15:activeTabTopLevelEntity name="[Car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89CFA-989B-403C-A2FC-F530A7B3FF4B}" name="PivotTable9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M10:N41" firstHeaderRow="1" firstDataRow="1" firstDataCol="1"/>
  <pivotFields count="2">
    <pivotField axis="axisRow" allDrilled="1" subtotalTop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1">
    <i>
      <x v="25"/>
    </i>
    <i>
      <x v="5"/>
    </i>
    <i>
      <x v="10"/>
    </i>
    <i>
      <x v="28"/>
    </i>
    <i>
      <x v="21"/>
    </i>
    <i>
      <x/>
    </i>
    <i>
      <x v="27"/>
    </i>
    <i>
      <x v="2"/>
    </i>
    <i>
      <x v="9"/>
    </i>
    <i>
      <x v="11"/>
    </i>
    <i>
      <x v="22"/>
    </i>
    <i>
      <x v="26"/>
    </i>
    <i>
      <x v="29"/>
    </i>
    <i>
      <x v="6"/>
    </i>
    <i>
      <x v="3"/>
    </i>
    <i>
      <x v="17"/>
    </i>
    <i>
      <x v="16"/>
    </i>
    <i>
      <x v="1"/>
    </i>
    <i>
      <x v="20"/>
    </i>
    <i>
      <x v="24"/>
    </i>
    <i>
      <x v="18"/>
    </i>
    <i>
      <x v="8"/>
    </i>
    <i>
      <x v="19"/>
    </i>
    <i>
      <x v="23"/>
    </i>
    <i>
      <x v="12"/>
    </i>
    <i>
      <x v="14"/>
    </i>
    <i>
      <x v="4"/>
    </i>
    <i>
      <x v="7"/>
    </i>
    <i>
      <x v="15"/>
    </i>
    <i>
      <x v="13"/>
    </i>
    <i t="grand">
      <x/>
    </i>
  </rowItems>
  <colItems count="1">
    <i/>
  </colItems>
  <dataFields count="1">
    <dataField name="Average of Fuel_efficiency" fld="1" subtotal="average" baseField="0" baseItem="0" numFmtId="2"/>
  </dataFields>
  <formats count="2">
    <format dxfId="39">
      <pivotArea outline="0" collapsedLevelsAreSubtotals="1" fieldPosition="0"/>
    </format>
    <format dxfId="3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Fuel_efficiency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sales.xlsx!CarSales">
        <x15:activeTabTopLevelEntity name="[Car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B476B-2882-45A5-85BA-E7B48C3038DC}" name="CarSales" displayName="CarSales" ref="A1:P158" totalsRowShown="0" headerRowDxfId="17" dataDxfId="16">
  <autoFilter ref="A1:P158" xr:uid="{925088EB-A66B-43DA-A153-7FA1718C2CDB}"/>
  <tableColumns count="16">
    <tableColumn id="1" xr3:uid="{971D1F52-B3EF-4D31-A78A-9837641E6673}" name="Manufacturer" dataDxfId="15"/>
    <tableColumn id="2" xr3:uid="{A966F7EE-7216-421F-9164-2B95386B0A0B}" name="Model" dataDxfId="14"/>
    <tableColumn id="3" xr3:uid="{3C05EA85-1FD1-4151-875A-29111CC5BA07}" name="Sales_in_thousands" dataDxfId="13"/>
    <tableColumn id="4" xr3:uid="{C689C488-B95D-4FB4-B5C7-36F18D8E2709}" name="__year_resale_value" dataDxfId="12"/>
    <tableColumn id="5" xr3:uid="{DB6FAFE9-A8AF-446B-A0FA-491C5342E2D1}" name="Vehicle_type" dataDxfId="11"/>
    <tableColumn id="6" xr3:uid="{33235CC6-6847-48C5-8B6E-0E1412299350}" name="Price_in_thousands" dataDxfId="10"/>
    <tableColumn id="7" xr3:uid="{5B36654D-5100-47F9-ABD2-84C9FAF34785}" name="Engine_size" dataDxfId="9"/>
    <tableColumn id="8" xr3:uid="{BB1C0D41-DFD7-47EF-BD2C-C0837494735B}" name="Horsepower" dataDxfId="8"/>
    <tableColumn id="9" xr3:uid="{469A9A45-60DC-473F-B1EA-87FEE58C38D0}" name="Wheelbase" dataDxfId="7"/>
    <tableColumn id="10" xr3:uid="{B5A246B4-252A-4E4A-9743-19D8CCF1C763}" name="Width" dataDxfId="6"/>
    <tableColumn id="11" xr3:uid="{676B2C65-1BB8-4CD1-984E-3F654A139C72}" name="Length" dataDxfId="5"/>
    <tableColumn id="12" xr3:uid="{4CAE6FD5-D4AF-4869-988F-5EC47C041E8F}" name="Curb_weight" dataDxfId="4"/>
    <tableColumn id="13" xr3:uid="{CD039F64-9E63-4F42-BDB0-1CAAC403EAF0}" name="Fuel_capacity" dataDxfId="3"/>
    <tableColumn id="14" xr3:uid="{50E6202D-9E4B-489F-8C72-8596E312E6B9}" name="Fuel_efficiency" dataDxfId="2"/>
    <tableColumn id="15" xr3:uid="{47A8E2C9-DA66-4758-A834-594EFDCB04F0}" name="Latest_Launch" dataDxfId="1"/>
    <tableColumn id="16" xr3:uid="{14CB43C9-1E32-4C71-BEA0-1E054426A577}" name="Power_perf_facto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AC9A-639B-4E81-9DF9-598A3E709EBB}">
  <dimension ref="A1:V158"/>
  <sheetViews>
    <sheetView topLeftCell="K1" workbookViewId="0">
      <selection activeCell="T42" sqref="T42"/>
    </sheetView>
  </sheetViews>
  <sheetFormatPr defaultColWidth="18.77734375" defaultRowHeight="14.4" x14ac:dyDescent="0.3"/>
  <cols>
    <col min="1" max="16384" width="18.77734375" style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1">
        <v>21.5</v>
      </c>
      <c r="G2" s="1">
        <v>1.8</v>
      </c>
      <c r="H2" s="1">
        <v>140</v>
      </c>
      <c r="I2" s="1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3">
        <v>40941</v>
      </c>
      <c r="P2" s="1">
        <v>58.280149520000002</v>
      </c>
    </row>
    <row r="3" spans="1:16" x14ac:dyDescent="0.3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1">
        <v>28.4</v>
      </c>
      <c r="G3" s="1">
        <v>3.2</v>
      </c>
      <c r="H3" s="1">
        <v>225</v>
      </c>
      <c r="I3" s="1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3">
        <v>40697</v>
      </c>
      <c r="P3" s="1">
        <v>91.370777660000002</v>
      </c>
    </row>
    <row r="4" spans="1:16" x14ac:dyDescent="0.3">
      <c r="A4" s="1" t="s">
        <v>16</v>
      </c>
      <c r="B4" s="1" t="s">
        <v>20</v>
      </c>
      <c r="C4" s="1">
        <v>14.114000000000001</v>
      </c>
      <c r="D4" s="1">
        <v>18.225000000000001</v>
      </c>
      <c r="E4" s="1" t="s">
        <v>18</v>
      </c>
      <c r="F4" s="5"/>
      <c r="G4" s="1">
        <v>3.2</v>
      </c>
      <c r="H4" s="1">
        <v>225</v>
      </c>
      <c r="I4" s="1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3">
        <v>40912</v>
      </c>
      <c r="P4" s="5"/>
    </row>
    <row r="5" spans="1:16" x14ac:dyDescent="0.3">
      <c r="A5" s="1" t="s">
        <v>16</v>
      </c>
      <c r="B5" s="1" t="s">
        <v>21</v>
      </c>
      <c r="C5" s="1">
        <v>8.5879999999999992</v>
      </c>
      <c r="D5" s="1">
        <v>29.725000000000001</v>
      </c>
      <c r="E5" s="1" t="s">
        <v>18</v>
      </c>
      <c r="F5" s="1">
        <v>42</v>
      </c>
      <c r="G5" s="1">
        <v>3.5</v>
      </c>
      <c r="H5" s="1">
        <v>210</v>
      </c>
      <c r="I5" s="1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3">
        <v>40612</v>
      </c>
      <c r="P5" s="1">
        <v>91.389779329999996</v>
      </c>
    </row>
    <row r="6" spans="1:16" x14ac:dyDescent="0.3">
      <c r="A6" s="1" t="s">
        <v>22</v>
      </c>
      <c r="B6" s="1" t="s">
        <v>23</v>
      </c>
      <c r="C6" s="1">
        <v>20.396999999999998</v>
      </c>
      <c r="D6" s="1">
        <v>22.254999999999999</v>
      </c>
      <c r="E6" s="1" t="s">
        <v>18</v>
      </c>
      <c r="F6" s="1">
        <v>23.99</v>
      </c>
      <c r="G6" s="1">
        <v>1.8</v>
      </c>
      <c r="H6" s="1">
        <v>150</v>
      </c>
      <c r="I6" s="1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3">
        <v>40824</v>
      </c>
      <c r="P6" s="1">
        <v>62.777639200000003</v>
      </c>
    </row>
    <row r="7" spans="1:16" x14ac:dyDescent="0.3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1">
        <v>33.950000000000003</v>
      </c>
      <c r="G7" s="1">
        <v>2.8</v>
      </c>
      <c r="H7" s="1">
        <v>200</v>
      </c>
      <c r="I7" s="1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3">
        <v>40764</v>
      </c>
      <c r="P7" s="1">
        <v>84.565105020000004</v>
      </c>
    </row>
    <row r="8" spans="1:16" x14ac:dyDescent="0.3">
      <c r="A8" s="1" t="s">
        <v>22</v>
      </c>
      <c r="B8" s="1" t="s">
        <v>25</v>
      </c>
      <c r="C8" s="1">
        <v>1.38</v>
      </c>
      <c r="D8" s="1">
        <v>39</v>
      </c>
      <c r="E8" s="1" t="s">
        <v>18</v>
      </c>
      <c r="F8" s="1">
        <v>62</v>
      </c>
      <c r="G8" s="1">
        <v>4.2</v>
      </c>
      <c r="H8" s="1">
        <v>310</v>
      </c>
      <c r="I8" s="1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3">
        <v>40966</v>
      </c>
      <c r="P8" s="1">
        <v>134.65685819999999</v>
      </c>
    </row>
    <row r="9" spans="1:16" x14ac:dyDescent="0.3">
      <c r="A9" s="1" t="s">
        <v>26</v>
      </c>
      <c r="B9" s="1" t="s">
        <v>27</v>
      </c>
      <c r="C9" s="1">
        <v>19.747</v>
      </c>
      <c r="D9" s="5"/>
      <c r="E9" s="1" t="s">
        <v>18</v>
      </c>
      <c r="F9" s="1">
        <v>26.99</v>
      </c>
      <c r="G9" s="1">
        <v>2.5</v>
      </c>
      <c r="H9" s="1">
        <v>170</v>
      </c>
      <c r="I9" s="1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3">
        <v>40722</v>
      </c>
      <c r="P9" s="1">
        <v>71.191206710000003</v>
      </c>
    </row>
    <row r="10" spans="1:16" x14ac:dyDescent="0.3">
      <c r="A10" s="1" t="s">
        <v>26</v>
      </c>
      <c r="B10" s="1" t="s">
        <v>28</v>
      </c>
      <c r="C10" s="1">
        <v>9.2309999999999999</v>
      </c>
      <c r="D10" s="1">
        <v>28.675000000000001</v>
      </c>
      <c r="E10" s="1" t="s">
        <v>18</v>
      </c>
      <c r="F10" s="1">
        <v>33.4</v>
      </c>
      <c r="G10" s="1">
        <v>2.8</v>
      </c>
      <c r="H10" s="1">
        <v>193</v>
      </c>
      <c r="I10" s="1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3">
        <v>40937</v>
      </c>
      <c r="P10" s="1">
        <v>81.877068559999998</v>
      </c>
    </row>
    <row r="11" spans="1:16" x14ac:dyDescent="0.3">
      <c r="A11" s="1" t="s">
        <v>26</v>
      </c>
      <c r="B11" s="1" t="s">
        <v>29</v>
      </c>
      <c r="C11" s="1">
        <v>17.527000000000001</v>
      </c>
      <c r="D11" s="1">
        <v>36.125</v>
      </c>
      <c r="E11" s="1" t="s">
        <v>18</v>
      </c>
      <c r="F11" s="1">
        <v>38.9</v>
      </c>
      <c r="G11" s="1">
        <v>2.8</v>
      </c>
      <c r="H11" s="1">
        <v>193</v>
      </c>
      <c r="I11" s="1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3">
        <v>40637</v>
      </c>
      <c r="P11" s="1">
        <v>83.998723799999993</v>
      </c>
    </row>
    <row r="12" spans="1:16" x14ac:dyDescent="0.3">
      <c r="A12" s="1" t="s">
        <v>30</v>
      </c>
      <c r="B12" s="1" t="s">
        <v>31</v>
      </c>
      <c r="C12" s="1">
        <v>91.561000000000007</v>
      </c>
      <c r="D12" s="1">
        <v>12.475</v>
      </c>
      <c r="E12" s="1" t="s">
        <v>18</v>
      </c>
      <c r="F12" s="1">
        <v>21.975000000000001</v>
      </c>
      <c r="G12" s="1">
        <v>3.1</v>
      </c>
      <c r="H12" s="1">
        <v>175</v>
      </c>
      <c r="I12" s="1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3">
        <v>40849</v>
      </c>
      <c r="P12" s="1">
        <v>71.181451319999994</v>
      </c>
    </row>
    <row r="13" spans="1:16" x14ac:dyDescent="0.3">
      <c r="A13" s="1" t="s">
        <v>30</v>
      </c>
      <c r="B13" s="1" t="s">
        <v>32</v>
      </c>
      <c r="C13" s="1">
        <v>39.35</v>
      </c>
      <c r="D13" s="1">
        <v>13.74</v>
      </c>
      <c r="E13" s="1" t="s">
        <v>18</v>
      </c>
      <c r="F13" s="1">
        <v>25.3</v>
      </c>
      <c r="G13" s="1">
        <v>3.8</v>
      </c>
      <c r="H13" s="1">
        <v>240</v>
      </c>
      <c r="I13" s="1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3">
        <v>40789</v>
      </c>
      <c r="P13" s="1">
        <v>95.636702529999994</v>
      </c>
    </row>
    <row r="14" spans="1:16" x14ac:dyDescent="0.3">
      <c r="A14" s="1" t="s">
        <v>30</v>
      </c>
      <c r="B14" s="1" t="s">
        <v>33</v>
      </c>
      <c r="C14" s="1">
        <v>27.850999999999999</v>
      </c>
      <c r="D14" s="1">
        <v>20.190000000000001</v>
      </c>
      <c r="E14" s="1" t="s">
        <v>18</v>
      </c>
      <c r="F14" s="1">
        <v>31.965</v>
      </c>
      <c r="G14" s="1">
        <v>3.8</v>
      </c>
      <c r="H14" s="1">
        <v>205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3">
        <v>40991</v>
      </c>
      <c r="P14" s="1">
        <v>85.828408249999995</v>
      </c>
    </row>
    <row r="15" spans="1:16" x14ac:dyDescent="0.3">
      <c r="A15" s="1" t="s">
        <v>30</v>
      </c>
      <c r="B15" s="1" t="s">
        <v>34</v>
      </c>
      <c r="C15" s="1">
        <v>83.257000000000005</v>
      </c>
      <c r="D15" s="1">
        <v>13.36</v>
      </c>
      <c r="E15" s="1" t="s">
        <v>18</v>
      </c>
      <c r="F15" s="1">
        <v>27.885000000000002</v>
      </c>
      <c r="G15" s="1">
        <v>3.8</v>
      </c>
      <c r="H15" s="1">
        <v>205</v>
      </c>
      <c r="I15" s="1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3">
        <v>40747</v>
      </c>
      <c r="P15" s="1">
        <v>84.254525810000004</v>
      </c>
    </row>
    <row r="16" spans="1:16" x14ac:dyDescent="0.3">
      <c r="A16" s="1" t="s">
        <v>35</v>
      </c>
      <c r="B16" s="1" t="s">
        <v>36</v>
      </c>
      <c r="C16" s="1">
        <v>63.728999999999999</v>
      </c>
      <c r="D16" s="1">
        <v>22.524999999999999</v>
      </c>
      <c r="E16" s="1" t="s">
        <v>18</v>
      </c>
      <c r="F16" s="1">
        <v>39.895000000000003</v>
      </c>
      <c r="G16" s="1">
        <v>4.5999999999999996</v>
      </c>
      <c r="H16" s="1">
        <v>275</v>
      </c>
      <c r="I16" s="1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3">
        <v>40962</v>
      </c>
      <c r="P16" s="1">
        <v>113.85459760000001</v>
      </c>
    </row>
    <row r="17" spans="1:22" x14ac:dyDescent="0.3">
      <c r="A17" s="1" t="s">
        <v>35</v>
      </c>
      <c r="B17" s="1" t="s">
        <v>37</v>
      </c>
      <c r="C17" s="1">
        <v>15.943</v>
      </c>
      <c r="D17" s="1">
        <v>27.1</v>
      </c>
      <c r="E17" s="1" t="s">
        <v>18</v>
      </c>
      <c r="F17" s="1">
        <v>44.475000000000001</v>
      </c>
      <c r="G17" s="1">
        <v>4.5999999999999996</v>
      </c>
      <c r="H17" s="1">
        <v>275</v>
      </c>
      <c r="I17" s="1">
        <v>112.2</v>
      </c>
      <c r="J17" s="1">
        <v>75</v>
      </c>
      <c r="K17" s="1">
        <v>201</v>
      </c>
      <c r="L17" s="5"/>
      <c r="M17" s="1">
        <v>18.5</v>
      </c>
      <c r="N17" s="1">
        <v>22</v>
      </c>
      <c r="O17" s="3">
        <v>40662</v>
      </c>
      <c r="P17" s="1">
        <v>115.6213578</v>
      </c>
    </row>
    <row r="18" spans="1:22" x14ac:dyDescent="0.3">
      <c r="A18" s="1" t="s">
        <v>35</v>
      </c>
      <c r="B18" s="1" t="s">
        <v>38</v>
      </c>
      <c r="C18" s="1">
        <v>6.5359999999999996</v>
      </c>
      <c r="D18" s="1">
        <v>25.725000000000001</v>
      </c>
      <c r="E18" s="1" t="s">
        <v>18</v>
      </c>
      <c r="F18" s="1">
        <v>39.664999999999999</v>
      </c>
      <c r="G18" s="1">
        <v>4.5999999999999996</v>
      </c>
      <c r="H18" s="1">
        <v>275</v>
      </c>
      <c r="I18" s="1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3">
        <v>40874</v>
      </c>
      <c r="P18" s="1">
        <v>113.7658739</v>
      </c>
    </row>
    <row r="19" spans="1:22" x14ac:dyDescent="0.3">
      <c r="A19" s="1" t="s">
        <v>35</v>
      </c>
      <c r="B19" s="1" t="s">
        <v>39</v>
      </c>
      <c r="C19" s="1">
        <v>11.185</v>
      </c>
      <c r="D19" s="1">
        <v>18.225000000000001</v>
      </c>
      <c r="E19" s="1" t="s">
        <v>18</v>
      </c>
      <c r="F19" s="1">
        <v>31.01</v>
      </c>
      <c r="G19" s="1">
        <v>3</v>
      </c>
      <c r="H19" s="1">
        <v>200</v>
      </c>
      <c r="I19" s="1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3">
        <v>40814</v>
      </c>
      <c r="P19" s="1">
        <v>83.483093580000002</v>
      </c>
    </row>
    <row r="20" spans="1:22" x14ac:dyDescent="0.3">
      <c r="A20" s="1" t="s">
        <v>35</v>
      </c>
      <c r="B20" s="1" t="s">
        <v>40</v>
      </c>
      <c r="C20" s="1">
        <v>14.785</v>
      </c>
      <c r="D20" s="5"/>
      <c r="E20" s="1" t="s">
        <v>41</v>
      </c>
      <c r="F20" s="1">
        <v>46.225000000000001</v>
      </c>
      <c r="G20" s="1">
        <v>5.7</v>
      </c>
      <c r="H20" s="1">
        <v>255</v>
      </c>
      <c r="I20" s="1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3">
        <v>41016</v>
      </c>
      <c r="P20" s="1">
        <v>109.5091165</v>
      </c>
    </row>
    <row r="21" spans="1:22" x14ac:dyDescent="0.3">
      <c r="A21" s="1" t="s">
        <v>42</v>
      </c>
      <c r="B21" s="1" t="s">
        <v>43</v>
      </c>
      <c r="C21" s="1">
        <v>145.51900000000001</v>
      </c>
      <c r="D21" s="1">
        <v>9.25</v>
      </c>
      <c r="E21" s="1" t="s">
        <v>18</v>
      </c>
      <c r="F21" s="1">
        <v>13.26</v>
      </c>
      <c r="G21" s="1">
        <v>2.2000000000000002</v>
      </c>
      <c r="H21" s="1">
        <v>115</v>
      </c>
      <c r="I21" s="1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3">
        <v>40772</v>
      </c>
      <c r="P21" s="1">
        <v>46.363347470000001</v>
      </c>
    </row>
    <row r="22" spans="1:22" x14ac:dyDescent="0.3">
      <c r="A22" s="1" t="s">
        <v>42</v>
      </c>
      <c r="B22" s="1" t="s">
        <v>44</v>
      </c>
      <c r="C22" s="1">
        <v>135.126</v>
      </c>
      <c r="D22" s="1">
        <v>11.225</v>
      </c>
      <c r="E22" s="1" t="s">
        <v>18</v>
      </c>
      <c r="F22" s="1">
        <v>16.535</v>
      </c>
      <c r="G22" s="1">
        <v>3.1</v>
      </c>
      <c r="H22" s="1">
        <v>170</v>
      </c>
      <c r="I22" s="1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3">
        <v>40987</v>
      </c>
      <c r="P22" s="1">
        <v>67.314462160000005</v>
      </c>
    </row>
    <row r="23" spans="1:22" x14ac:dyDescent="0.3">
      <c r="A23" s="1" t="s">
        <v>42</v>
      </c>
      <c r="B23" s="1" t="s">
        <v>45</v>
      </c>
      <c r="C23" s="1">
        <v>24.629000000000001</v>
      </c>
      <c r="D23" s="1">
        <v>10.31</v>
      </c>
      <c r="E23" s="1" t="s">
        <v>18</v>
      </c>
      <c r="F23" s="1">
        <v>18.89</v>
      </c>
      <c r="G23" s="1">
        <v>3.1</v>
      </c>
      <c r="H23" s="1">
        <v>175</v>
      </c>
      <c r="I23" s="1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3">
        <v>40687</v>
      </c>
      <c r="P23" s="1">
        <v>69.991395600000004</v>
      </c>
      <c r="R23" s="6" t="s">
        <v>204</v>
      </c>
      <c r="S23" s="6" t="s">
        <v>205</v>
      </c>
      <c r="T23" s="8"/>
      <c r="U23" s="8"/>
      <c r="V23"/>
    </row>
    <row r="24" spans="1:22" x14ac:dyDescent="0.3">
      <c r="A24" s="1" t="s">
        <v>42</v>
      </c>
      <c r="B24" s="1" t="s">
        <v>46</v>
      </c>
      <c r="C24" s="1">
        <v>42.593000000000004</v>
      </c>
      <c r="D24" s="1">
        <v>11.525</v>
      </c>
      <c r="E24" s="1" t="s">
        <v>18</v>
      </c>
      <c r="F24" s="1">
        <v>19.39</v>
      </c>
      <c r="G24" s="1">
        <v>3.4</v>
      </c>
      <c r="H24" s="1">
        <v>180</v>
      </c>
      <c r="I24" s="1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3">
        <v>40899</v>
      </c>
      <c r="P24" s="1">
        <v>72.030917189999997</v>
      </c>
      <c r="R24" s="10" t="s">
        <v>202</v>
      </c>
      <c r="S24" s="6">
        <v>36</v>
      </c>
      <c r="T24" s="11"/>
      <c r="U24" s="8"/>
      <c r="V24"/>
    </row>
    <row r="25" spans="1:22" x14ac:dyDescent="0.3">
      <c r="A25" s="1" t="s">
        <v>42</v>
      </c>
      <c r="B25" s="1" t="s">
        <v>47</v>
      </c>
      <c r="C25" s="1">
        <v>26.402000000000001</v>
      </c>
      <c r="D25" s="1">
        <v>13.025</v>
      </c>
      <c r="E25" s="1" t="s">
        <v>18</v>
      </c>
      <c r="F25" s="1">
        <v>24.34</v>
      </c>
      <c r="G25" s="1">
        <v>3.8</v>
      </c>
      <c r="H25" s="1">
        <v>200</v>
      </c>
      <c r="I25" s="1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3">
        <v>40839</v>
      </c>
      <c r="P25" s="1">
        <v>81.118543329999994</v>
      </c>
      <c r="R25" s="10" t="s">
        <v>5</v>
      </c>
      <c r="S25" s="6">
        <v>2</v>
      </c>
      <c r="T25" s="11"/>
      <c r="U25" s="11"/>
      <c r="V25"/>
    </row>
    <row r="26" spans="1:22" x14ac:dyDescent="0.3">
      <c r="A26" s="1" t="s">
        <v>42</v>
      </c>
      <c r="B26" s="1" t="s">
        <v>48</v>
      </c>
      <c r="C26" s="1">
        <v>17.946999999999999</v>
      </c>
      <c r="D26" s="1">
        <v>36.225000000000001</v>
      </c>
      <c r="E26" s="1" t="s">
        <v>18</v>
      </c>
      <c r="F26" s="1">
        <v>45.704999999999998</v>
      </c>
      <c r="G26" s="1">
        <v>5.7</v>
      </c>
      <c r="H26" s="1">
        <v>345</v>
      </c>
      <c r="I26" s="1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3">
        <v>41041</v>
      </c>
      <c r="P26" s="1">
        <v>141.14115000000001</v>
      </c>
      <c r="R26" s="10" t="s">
        <v>6</v>
      </c>
      <c r="S26" s="6">
        <v>1</v>
      </c>
      <c r="T26" s="11"/>
      <c r="U26" s="8"/>
      <c r="V26"/>
    </row>
    <row r="27" spans="1:22" x14ac:dyDescent="0.3">
      <c r="A27" s="1" t="s">
        <v>42</v>
      </c>
      <c r="B27" s="1" t="s">
        <v>49</v>
      </c>
      <c r="C27" s="1">
        <v>32.298999999999999</v>
      </c>
      <c r="D27" s="1">
        <v>9.125</v>
      </c>
      <c r="E27" s="1" t="s">
        <v>18</v>
      </c>
      <c r="F27" s="1">
        <v>13.96</v>
      </c>
      <c r="G27" s="1">
        <v>1.8</v>
      </c>
      <c r="H27" s="1">
        <v>120</v>
      </c>
      <c r="I27" s="1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3">
        <v>40797</v>
      </c>
      <c r="P27" s="1">
        <v>48.297636099999998</v>
      </c>
      <c r="R27" s="10" t="s">
        <v>7</v>
      </c>
      <c r="S27" s="6">
        <v>1</v>
      </c>
      <c r="T27" s="11"/>
      <c r="U27" s="8"/>
      <c r="V27"/>
    </row>
    <row r="28" spans="1:22" x14ac:dyDescent="0.3">
      <c r="A28" s="1" t="s">
        <v>42</v>
      </c>
      <c r="B28" s="1" t="s">
        <v>50</v>
      </c>
      <c r="C28" s="1">
        <v>21.855</v>
      </c>
      <c r="D28" s="1">
        <v>5.16</v>
      </c>
      <c r="E28" s="1" t="s">
        <v>18</v>
      </c>
      <c r="F28" s="1">
        <v>9.2349999999999994</v>
      </c>
      <c r="G28" s="1">
        <v>1</v>
      </c>
      <c r="H28" s="1">
        <v>55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3">
        <v>41012</v>
      </c>
      <c r="P28" s="1">
        <v>23.276272330000001</v>
      </c>
      <c r="R28" s="10" t="s">
        <v>8</v>
      </c>
      <c r="S28" s="6">
        <v>1</v>
      </c>
      <c r="T28" s="11"/>
      <c r="U28" s="8"/>
      <c r="V28"/>
    </row>
    <row r="29" spans="1:22" x14ac:dyDescent="0.3">
      <c r="A29" s="1" t="s">
        <v>42</v>
      </c>
      <c r="B29" s="1" t="s">
        <v>51</v>
      </c>
      <c r="C29" s="1">
        <v>107.995</v>
      </c>
      <c r="D29" s="5"/>
      <c r="E29" s="1" t="s">
        <v>18</v>
      </c>
      <c r="F29" s="1">
        <v>18.89</v>
      </c>
      <c r="G29" s="1">
        <v>3.4</v>
      </c>
      <c r="H29" s="1">
        <v>180</v>
      </c>
      <c r="I29" s="1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3">
        <v>40712</v>
      </c>
      <c r="P29" s="1">
        <v>71.838039440000003</v>
      </c>
      <c r="R29" s="10" t="s">
        <v>9</v>
      </c>
      <c r="S29" s="6">
        <v>1</v>
      </c>
      <c r="T29" s="8"/>
      <c r="U29" s="8"/>
      <c r="V29"/>
    </row>
    <row r="30" spans="1:22" x14ac:dyDescent="0.3">
      <c r="A30" s="1" t="s">
        <v>52</v>
      </c>
      <c r="B30" s="1" t="s">
        <v>53</v>
      </c>
      <c r="C30" s="1">
        <v>7.8540000000000001</v>
      </c>
      <c r="D30" s="1">
        <v>12.36</v>
      </c>
      <c r="E30" s="1" t="s">
        <v>18</v>
      </c>
      <c r="F30" s="1">
        <v>19.84</v>
      </c>
      <c r="G30" s="1">
        <v>2.5</v>
      </c>
      <c r="H30" s="1">
        <v>163</v>
      </c>
      <c r="I30" s="1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3">
        <v>40924</v>
      </c>
      <c r="P30" s="1">
        <v>65.957183959999995</v>
      </c>
      <c r="R30" s="10" t="s">
        <v>10</v>
      </c>
      <c r="S30" s="6">
        <v>1</v>
      </c>
      <c r="T30" s="11"/>
      <c r="U30" s="8"/>
      <c r="V30"/>
    </row>
    <row r="31" spans="1:22" x14ac:dyDescent="0.3">
      <c r="A31" s="1" t="s">
        <v>52</v>
      </c>
      <c r="B31" s="1" t="s">
        <v>54</v>
      </c>
      <c r="C31" s="1">
        <v>32.774999999999999</v>
      </c>
      <c r="D31" s="1">
        <v>14.18</v>
      </c>
      <c r="E31" s="1" t="s">
        <v>18</v>
      </c>
      <c r="F31" s="1">
        <v>24.495000000000001</v>
      </c>
      <c r="G31" s="1">
        <v>2.5</v>
      </c>
      <c r="H31" s="1">
        <v>168</v>
      </c>
      <c r="I31" s="1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3">
        <v>40864</v>
      </c>
      <c r="P31" s="1">
        <v>69.521355049999997</v>
      </c>
      <c r="R31" s="10" t="s">
        <v>11</v>
      </c>
      <c r="S31" s="6">
        <v>2</v>
      </c>
      <c r="T31" s="11"/>
      <c r="U31" s="8"/>
      <c r="V31"/>
    </row>
    <row r="32" spans="1:22" x14ac:dyDescent="0.3">
      <c r="A32" s="1" t="s">
        <v>52</v>
      </c>
      <c r="B32" s="1" t="s">
        <v>55</v>
      </c>
      <c r="C32" s="1">
        <v>31.148</v>
      </c>
      <c r="D32" s="1">
        <v>13.725</v>
      </c>
      <c r="E32" s="1" t="s">
        <v>18</v>
      </c>
      <c r="F32" s="1">
        <v>22.245000000000001</v>
      </c>
      <c r="G32" s="1">
        <v>2.7</v>
      </c>
      <c r="H32" s="1">
        <v>200</v>
      </c>
      <c r="I32" s="1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3">
        <v>41066</v>
      </c>
      <c r="P32" s="1">
        <v>80.02378204</v>
      </c>
      <c r="R32" s="10" t="s">
        <v>12</v>
      </c>
      <c r="S32" s="6">
        <v>1</v>
      </c>
      <c r="T32" s="11"/>
      <c r="U32" s="8"/>
      <c r="V32"/>
    </row>
    <row r="33" spans="1:22" x14ac:dyDescent="0.3">
      <c r="A33" s="1" t="s">
        <v>52</v>
      </c>
      <c r="B33" s="1" t="s">
        <v>56</v>
      </c>
      <c r="C33" s="1">
        <v>32.305999999999997</v>
      </c>
      <c r="D33" s="1">
        <v>12.64</v>
      </c>
      <c r="E33" s="1" t="s">
        <v>18</v>
      </c>
      <c r="F33" s="1">
        <v>16.48</v>
      </c>
      <c r="G33" s="1">
        <v>2</v>
      </c>
      <c r="H33" s="1">
        <v>132</v>
      </c>
      <c r="I33" s="1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3">
        <v>40822</v>
      </c>
      <c r="P33" s="1">
        <v>53.566199869999998</v>
      </c>
      <c r="R33" s="10" t="s">
        <v>13</v>
      </c>
      <c r="S33" s="6">
        <v>3</v>
      </c>
      <c r="T33" s="11"/>
      <c r="U33" s="8"/>
      <c r="V33"/>
    </row>
    <row r="34" spans="1:22" x14ac:dyDescent="0.3">
      <c r="A34" s="1" t="s">
        <v>52</v>
      </c>
      <c r="B34" s="1" t="s">
        <v>57</v>
      </c>
      <c r="C34" s="1">
        <v>13.462</v>
      </c>
      <c r="D34" s="1">
        <v>17.324999999999999</v>
      </c>
      <c r="E34" s="1" t="s">
        <v>18</v>
      </c>
      <c r="F34" s="1">
        <v>28.34</v>
      </c>
      <c r="G34" s="1">
        <v>3.5</v>
      </c>
      <c r="H34" s="1">
        <v>253</v>
      </c>
      <c r="I34" s="1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3">
        <v>41037</v>
      </c>
      <c r="P34" s="1">
        <v>101.3292807</v>
      </c>
      <c r="R34" s="10" t="s">
        <v>14</v>
      </c>
      <c r="S34" s="6">
        <v>0</v>
      </c>
      <c r="T34" s="8"/>
      <c r="U34" s="8"/>
      <c r="V34"/>
    </row>
    <row r="35" spans="1:22" x14ac:dyDescent="0.3">
      <c r="A35" s="1" t="s">
        <v>52</v>
      </c>
      <c r="B35" s="1" t="s">
        <v>58</v>
      </c>
      <c r="C35" s="1">
        <v>53.48</v>
      </c>
      <c r="D35" s="1">
        <v>19.54</v>
      </c>
      <c r="E35" s="1" t="s">
        <v>41</v>
      </c>
      <c r="F35" s="5"/>
      <c r="G35" s="5"/>
      <c r="H35" s="5"/>
      <c r="I35" s="5"/>
      <c r="J35" s="5"/>
      <c r="K35" s="5"/>
      <c r="L35" s="5"/>
      <c r="M35" s="5"/>
      <c r="N35" s="5"/>
      <c r="O35" s="3">
        <v>40737</v>
      </c>
      <c r="P35" s="5"/>
      <c r="R35" s="10" t="s">
        <v>15</v>
      </c>
      <c r="S35" s="6">
        <v>2</v>
      </c>
      <c r="T35" s="11"/>
      <c r="U35" s="11"/>
      <c r="V35"/>
    </row>
    <row r="36" spans="1:22" x14ac:dyDescent="0.3">
      <c r="A36" s="1" t="s">
        <v>52</v>
      </c>
      <c r="B36" s="1" t="s">
        <v>59</v>
      </c>
      <c r="C36" s="1">
        <v>30.696000000000002</v>
      </c>
      <c r="D36" s="5"/>
      <c r="E36" s="1" t="s">
        <v>18</v>
      </c>
      <c r="F36" s="1">
        <v>29.184999999999999</v>
      </c>
      <c r="G36" s="1">
        <v>3.5</v>
      </c>
      <c r="H36" s="1">
        <v>253</v>
      </c>
      <c r="I36" s="1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3">
        <v>40949</v>
      </c>
      <c r="P36" s="1">
        <v>101.6552441</v>
      </c>
      <c r="R36"/>
      <c r="T36"/>
      <c r="U36"/>
      <c r="V36"/>
    </row>
    <row r="37" spans="1:22" x14ac:dyDescent="0.3">
      <c r="A37" s="1" t="s">
        <v>60</v>
      </c>
      <c r="B37" s="1" t="s">
        <v>61</v>
      </c>
      <c r="C37" s="1">
        <v>76.034000000000006</v>
      </c>
      <c r="D37" s="1">
        <v>7.75</v>
      </c>
      <c r="E37" s="1" t="s">
        <v>18</v>
      </c>
      <c r="F37" s="1">
        <v>12.64</v>
      </c>
      <c r="G37" s="1">
        <v>2</v>
      </c>
      <c r="H37" s="1">
        <v>132</v>
      </c>
      <c r="I37" s="1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3">
        <v>40889</v>
      </c>
      <c r="P37" s="1">
        <v>52.084898750000001</v>
      </c>
      <c r="T37"/>
      <c r="U37"/>
      <c r="V37"/>
    </row>
    <row r="38" spans="1:22" x14ac:dyDescent="0.3">
      <c r="A38" s="1" t="s">
        <v>60</v>
      </c>
      <c r="B38" s="1" t="s">
        <v>62</v>
      </c>
      <c r="C38" s="1">
        <v>4.734</v>
      </c>
      <c r="D38" s="1">
        <v>12.545</v>
      </c>
      <c r="E38" s="1" t="s">
        <v>18</v>
      </c>
      <c r="F38" s="1">
        <v>19.045000000000002</v>
      </c>
      <c r="G38" s="1">
        <v>2.5</v>
      </c>
      <c r="H38" s="1">
        <v>163</v>
      </c>
      <c r="I38" s="1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3">
        <v>41091</v>
      </c>
      <c r="P38" s="1">
        <v>65.650508340000002</v>
      </c>
      <c r="R38" s="8" t="s">
        <v>203</v>
      </c>
      <c r="S38" s="8">
        <v>51</v>
      </c>
      <c r="T38"/>
      <c r="U38"/>
      <c r="V38"/>
    </row>
    <row r="39" spans="1:22" x14ac:dyDescent="0.3">
      <c r="A39" s="1" t="s">
        <v>60</v>
      </c>
      <c r="B39" s="1" t="s">
        <v>63</v>
      </c>
      <c r="C39" s="1">
        <v>71.186000000000007</v>
      </c>
      <c r="D39" s="1">
        <v>10.185</v>
      </c>
      <c r="E39" s="1" t="s">
        <v>18</v>
      </c>
      <c r="F39" s="1">
        <v>20.23</v>
      </c>
      <c r="G39" s="1">
        <v>2.5</v>
      </c>
      <c r="H39" s="1">
        <v>168</v>
      </c>
      <c r="I39" s="1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3">
        <v>40847</v>
      </c>
      <c r="P39" s="1">
        <v>67.876107840000003</v>
      </c>
    </row>
    <row r="40" spans="1:22" x14ac:dyDescent="0.3">
      <c r="A40" s="1" t="s">
        <v>60</v>
      </c>
      <c r="B40" s="1" t="s">
        <v>64</v>
      </c>
      <c r="C40" s="1">
        <v>88.028000000000006</v>
      </c>
      <c r="D40" s="1">
        <v>12.275</v>
      </c>
      <c r="E40" s="1" t="s">
        <v>18</v>
      </c>
      <c r="F40" s="1">
        <v>22.504999999999999</v>
      </c>
      <c r="G40" s="1">
        <v>2.7</v>
      </c>
      <c r="H40" s="1">
        <v>202</v>
      </c>
      <c r="I40" s="1">
        <v>113</v>
      </c>
      <c r="J40" s="1">
        <v>74.7</v>
      </c>
      <c r="K40" s="1">
        <v>203.7</v>
      </c>
      <c r="L40" s="1">
        <v>3.4889999999999999</v>
      </c>
      <c r="M40" s="1">
        <v>17</v>
      </c>
      <c r="N40" s="5"/>
      <c r="O40" s="3">
        <v>41062</v>
      </c>
      <c r="P40" s="1">
        <v>80.831470170000003</v>
      </c>
    </row>
    <row r="41" spans="1:22" x14ac:dyDescent="0.3">
      <c r="A41" s="1" t="s">
        <v>60</v>
      </c>
      <c r="B41" s="1" t="s">
        <v>65</v>
      </c>
      <c r="C41" s="1">
        <v>0.91600000000000004</v>
      </c>
      <c r="D41" s="1">
        <v>58.47</v>
      </c>
      <c r="E41" s="1" t="s">
        <v>18</v>
      </c>
      <c r="F41" s="1">
        <v>69.724999999999994</v>
      </c>
      <c r="G41" s="1">
        <v>8</v>
      </c>
      <c r="H41" s="1">
        <v>450</v>
      </c>
      <c r="I41" s="1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3">
        <v>40762</v>
      </c>
      <c r="P41" s="1">
        <v>188.14432300000001</v>
      </c>
    </row>
    <row r="42" spans="1:22" x14ac:dyDescent="0.3">
      <c r="A42" s="1" t="s">
        <v>60</v>
      </c>
      <c r="B42" s="1" t="s">
        <v>66</v>
      </c>
      <c r="C42" s="1">
        <v>227.06100000000001</v>
      </c>
      <c r="D42" s="1">
        <v>15.06</v>
      </c>
      <c r="E42" s="1" t="s">
        <v>41</v>
      </c>
      <c r="F42" s="1">
        <v>19.46</v>
      </c>
      <c r="G42" s="1">
        <v>5.2</v>
      </c>
      <c r="H42" s="1">
        <v>230</v>
      </c>
      <c r="I42" s="1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3">
        <v>40974</v>
      </c>
      <c r="P42" s="1">
        <v>90.211700050000005</v>
      </c>
    </row>
    <row r="43" spans="1:22" x14ac:dyDescent="0.3">
      <c r="A43" s="1" t="s">
        <v>60</v>
      </c>
      <c r="B43" s="1" t="s">
        <v>67</v>
      </c>
      <c r="C43" s="1">
        <v>16.766999999999999</v>
      </c>
      <c r="D43" s="1">
        <v>15.51</v>
      </c>
      <c r="E43" s="1" t="s">
        <v>41</v>
      </c>
      <c r="F43" s="1">
        <v>21.315000000000001</v>
      </c>
      <c r="G43" s="1">
        <v>3.9</v>
      </c>
      <c r="H43" s="1">
        <v>175</v>
      </c>
      <c r="I43" s="1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3">
        <v>40914</v>
      </c>
      <c r="P43" s="1">
        <v>71.135291609999996</v>
      </c>
    </row>
    <row r="44" spans="1:22" x14ac:dyDescent="0.3">
      <c r="A44" s="1" t="s">
        <v>60</v>
      </c>
      <c r="B44" s="1" t="s">
        <v>68</v>
      </c>
      <c r="C44" s="1">
        <v>31.038</v>
      </c>
      <c r="D44" s="1">
        <v>13.425000000000001</v>
      </c>
      <c r="E44" s="1" t="s">
        <v>41</v>
      </c>
      <c r="F44" s="1">
        <v>18.574999999999999</v>
      </c>
      <c r="G44" s="1">
        <v>3.9</v>
      </c>
      <c r="H44" s="1">
        <v>175</v>
      </c>
      <c r="I44" s="1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3">
        <v>41116</v>
      </c>
      <c r="P44" s="1">
        <v>70.078321540000005</v>
      </c>
    </row>
    <row r="45" spans="1:22" x14ac:dyDescent="0.3">
      <c r="A45" s="1" t="s">
        <v>60</v>
      </c>
      <c r="B45" s="1" t="s">
        <v>69</v>
      </c>
      <c r="C45" s="1">
        <v>111.313</v>
      </c>
      <c r="D45" s="1">
        <v>11.26</v>
      </c>
      <c r="E45" s="1" t="s">
        <v>41</v>
      </c>
      <c r="F45" s="1">
        <v>16.98</v>
      </c>
      <c r="G45" s="1">
        <v>2.5</v>
      </c>
      <c r="H45" s="1">
        <v>120</v>
      </c>
      <c r="I45" s="1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3">
        <v>40872</v>
      </c>
      <c r="P45" s="1">
        <v>49.64500177</v>
      </c>
    </row>
    <row r="46" spans="1:22" x14ac:dyDescent="0.3">
      <c r="A46" s="1" t="s">
        <v>60</v>
      </c>
      <c r="B46" s="1" t="s">
        <v>70</v>
      </c>
      <c r="C46" s="1">
        <v>101.32299999999999</v>
      </c>
      <c r="D46" s="5"/>
      <c r="E46" s="1" t="s">
        <v>41</v>
      </c>
      <c r="F46" s="1">
        <v>26.31</v>
      </c>
      <c r="G46" s="1">
        <v>5.2</v>
      </c>
      <c r="H46" s="1">
        <v>230</v>
      </c>
      <c r="I46" s="1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3">
        <v>41087</v>
      </c>
      <c r="P46" s="1">
        <v>92.85412522</v>
      </c>
    </row>
    <row r="47" spans="1:22" x14ac:dyDescent="0.3">
      <c r="A47" s="1" t="s">
        <v>60</v>
      </c>
      <c r="B47" s="1" t="s">
        <v>71</v>
      </c>
      <c r="C47" s="1">
        <v>181.749</v>
      </c>
      <c r="D47" s="1">
        <v>12.025</v>
      </c>
      <c r="E47" s="1" t="s">
        <v>41</v>
      </c>
      <c r="F47" s="1">
        <v>19.565000000000001</v>
      </c>
      <c r="G47" s="1">
        <v>2.4</v>
      </c>
      <c r="H47" s="1">
        <v>150</v>
      </c>
      <c r="I47" s="1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3">
        <v>40787</v>
      </c>
      <c r="P47" s="1">
        <v>61.227000310000001</v>
      </c>
    </row>
    <row r="48" spans="1:22" x14ac:dyDescent="0.3">
      <c r="A48" s="1" t="s">
        <v>72</v>
      </c>
      <c r="B48" s="1" t="s">
        <v>73</v>
      </c>
      <c r="C48" s="1">
        <v>70.227000000000004</v>
      </c>
      <c r="D48" s="1">
        <v>7.4249999999999998</v>
      </c>
      <c r="E48" s="1" t="s">
        <v>18</v>
      </c>
      <c r="F48" s="1">
        <v>12.07</v>
      </c>
      <c r="G48" s="1">
        <v>2</v>
      </c>
      <c r="H48" s="1">
        <v>110</v>
      </c>
      <c r="I48" s="1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3">
        <v>40999</v>
      </c>
      <c r="P48" s="1">
        <v>44.083709460000001</v>
      </c>
    </row>
    <row r="49" spans="1:16" x14ac:dyDescent="0.3">
      <c r="A49" s="1" t="s">
        <v>72</v>
      </c>
      <c r="B49" s="1" t="s">
        <v>74</v>
      </c>
      <c r="C49" s="1">
        <v>113.369</v>
      </c>
      <c r="D49" s="1">
        <v>12.76</v>
      </c>
      <c r="E49" s="1" t="s">
        <v>18</v>
      </c>
      <c r="F49" s="1">
        <v>21.56</v>
      </c>
      <c r="G49" s="1">
        <v>3.8</v>
      </c>
      <c r="H49" s="1">
        <v>190</v>
      </c>
      <c r="I49" s="1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3">
        <v>40939</v>
      </c>
      <c r="P49" s="1">
        <v>76.509184559999994</v>
      </c>
    </row>
    <row r="50" spans="1:16" x14ac:dyDescent="0.3">
      <c r="A50" s="1" t="s">
        <v>72</v>
      </c>
      <c r="B50" s="1" t="s">
        <v>75</v>
      </c>
      <c r="C50" s="1">
        <v>35.067999999999998</v>
      </c>
      <c r="D50" s="1">
        <v>8.8350000000000009</v>
      </c>
      <c r="E50" s="1" t="s">
        <v>18</v>
      </c>
      <c r="F50" s="1">
        <v>17.035</v>
      </c>
      <c r="G50" s="1">
        <v>2.5</v>
      </c>
      <c r="H50" s="1">
        <v>170</v>
      </c>
      <c r="I50" s="1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3">
        <v>41141</v>
      </c>
      <c r="P50" s="1">
        <v>67.351010720000005</v>
      </c>
    </row>
    <row r="51" spans="1:16" x14ac:dyDescent="0.3">
      <c r="A51" s="1" t="s">
        <v>72</v>
      </c>
      <c r="B51" s="1" t="s">
        <v>76</v>
      </c>
      <c r="C51" s="1">
        <v>245.815</v>
      </c>
      <c r="D51" s="1">
        <v>10.055</v>
      </c>
      <c r="E51" s="1" t="s">
        <v>18</v>
      </c>
      <c r="F51" s="1">
        <v>17.885000000000002</v>
      </c>
      <c r="G51" s="1">
        <v>3</v>
      </c>
      <c r="H51" s="1">
        <v>155</v>
      </c>
      <c r="I51" s="1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3">
        <v>40897</v>
      </c>
      <c r="P51" s="1">
        <v>62.503739500000002</v>
      </c>
    </row>
    <row r="52" spans="1:16" x14ac:dyDescent="0.3">
      <c r="A52" s="1" t="s">
        <v>72</v>
      </c>
      <c r="B52" s="1" t="s">
        <v>77</v>
      </c>
      <c r="C52" s="1">
        <v>175.67</v>
      </c>
      <c r="D52" s="5"/>
      <c r="E52" s="1" t="s">
        <v>18</v>
      </c>
      <c r="F52" s="1">
        <v>12.315</v>
      </c>
      <c r="G52" s="1">
        <v>2</v>
      </c>
      <c r="H52" s="1">
        <v>107</v>
      </c>
      <c r="I52" s="1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3">
        <v>41112</v>
      </c>
      <c r="P52" s="1">
        <v>43.117132009999999</v>
      </c>
    </row>
    <row r="53" spans="1:16" x14ac:dyDescent="0.3">
      <c r="A53" s="1" t="s">
        <v>72</v>
      </c>
      <c r="B53" s="1" t="s">
        <v>78</v>
      </c>
      <c r="C53" s="1">
        <v>63.402999999999999</v>
      </c>
      <c r="D53" s="1">
        <v>14.21</v>
      </c>
      <c r="E53" s="1" t="s">
        <v>18</v>
      </c>
      <c r="F53" s="1">
        <v>22.195</v>
      </c>
      <c r="G53" s="1">
        <v>4.5999999999999996</v>
      </c>
      <c r="H53" s="1">
        <v>200</v>
      </c>
      <c r="I53" s="1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3">
        <v>40812</v>
      </c>
      <c r="P53" s="1">
        <v>80.499536710000001</v>
      </c>
    </row>
    <row r="54" spans="1:16" x14ac:dyDescent="0.3">
      <c r="A54" s="1" t="s">
        <v>72</v>
      </c>
      <c r="B54" s="1" t="s">
        <v>79</v>
      </c>
      <c r="C54" s="1">
        <v>276.74700000000001</v>
      </c>
      <c r="D54" s="1">
        <v>16.64</v>
      </c>
      <c r="E54" s="1" t="s">
        <v>41</v>
      </c>
      <c r="F54" s="1">
        <v>31.93</v>
      </c>
      <c r="G54" s="1">
        <v>4</v>
      </c>
      <c r="H54" s="1">
        <v>210</v>
      </c>
      <c r="I54" s="1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3">
        <v>41024</v>
      </c>
      <c r="P54" s="1">
        <v>87.635495779999999</v>
      </c>
    </row>
    <row r="55" spans="1:16" x14ac:dyDescent="0.3">
      <c r="A55" s="1" t="s">
        <v>72</v>
      </c>
      <c r="B55" s="1" t="s">
        <v>80</v>
      </c>
      <c r="C55" s="1">
        <v>155.78700000000001</v>
      </c>
      <c r="D55" s="1">
        <v>13.175000000000001</v>
      </c>
      <c r="E55" s="1" t="s">
        <v>41</v>
      </c>
      <c r="F55" s="1">
        <v>21.41</v>
      </c>
      <c r="G55" s="1">
        <v>3</v>
      </c>
      <c r="H55" s="1">
        <v>150</v>
      </c>
      <c r="I55" s="1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3">
        <v>40964</v>
      </c>
      <c r="P55" s="1">
        <v>62.095048390000002</v>
      </c>
    </row>
    <row r="56" spans="1:16" x14ac:dyDescent="0.3">
      <c r="A56" s="1" t="s">
        <v>72</v>
      </c>
      <c r="B56" s="1" t="s">
        <v>81</v>
      </c>
      <c r="C56" s="1">
        <v>125.33799999999999</v>
      </c>
      <c r="D56" s="1">
        <v>23.574999999999999</v>
      </c>
      <c r="E56" s="1" t="s">
        <v>41</v>
      </c>
      <c r="F56" s="1">
        <v>36.134999999999998</v>
      </c>
      <c r="G56" s="1">
        <v>4.5999999999999996</v>
      </c>
      <c r="H56" s="1">
        <v>240</v>
      </c>
      <c r="I56" s="1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3">
        <v>41166</v>
      </c>
      <c r="P56" s="1">
        <v>100.0248023</v>
      </c>
    </row>
    <row r="57" spans="1:16" x14ac:dyDescent="0.3">
      <c r="A57" s="1" t="s">
        <v>72</v>
      </c>
      <c r="B57" s="1" t="s">
        <v>82</v>
      </c>
      <c r="C57" s="1">
        <v>220.65</v>
      </c>
      <c r="D57" s="1">
        <v>7.85</v>
      </c>
      <c r="E57" s="1" t="s">
        <v>41</v>
      </c>
      <c r="F57" s="1">
        <v>12.05</v>
      </c>
      <c r="G57" s="1">
        <v>2.5</v>
      </c>
      <c r="H57" s="1">
        <v>119</v>
      </c>
      <c r="I57" s="1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3">
        <v>40922</v>
      </c>
      <c r="P57" s="1">
        <v>47.389531310000002</v>
      </c>
    </row>
    <row r="58" spans="1:16" x14ac:dyDescent="0.3">
      <c r="A58" s="1" t="s">
        <v>72</v>
      </c>
      <c r="B58" s="1" t="s">
        <v>83</v>
      </c>
      <c r="C58" s="1">
        <v>540.56100000000004</v>
      </c>
      <c r="D58" s="1">
        <v>15.074999999999999</v>
      </c>
      <c r="E58" s="1" t="s">
        <v>41</v>
      </c>
      <c r="F58" s="1">
        <v>26.934999999999999</v>
      </c>
      <c r="G58" s="1">
        <v>4.5999999999999996</v>
      </c>
      <c r="H58" s="1">
        <v>220</v>
      </c>
      <c r="I58" s="1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3">
        <v>41137</v>
      </c>
      <c r="P58" s="1">
        <v>89.401934729999994</v>
      </c>
    </row>
    <row r="59" spans="1:16" x14ac:dyDescent="0.3">
      <c r="A59" s="1" t="s">
        <v>84</v>
      </c>
      <c r="B59" s="1" t="s">
        <v>85</v>
      </c>
      <c r="C59" s="1">
        <v>199.685</v>
      </c>
      <c r="D59" s="1">
        <v>9.85</v>
      </c>
      <c r="E59" s="1" t="s">
        <v>18</v>
      </c>
      <c r="F59" s="1">
        <v>12.885</v>
      </c>
      <c r="G59" s="1">
        <v>1.6</v>
      </c>
      <c r="H59" s="1">
        <v>106</v>
      </c>
      <c r="I59" s="1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3">
        <v>40837</v>
      </c>
      <c r="P59" s="1">
        <v>42.879097340000001</v>
      </c>
    </row>
    <row r="60" spans="1:16" x14ac:dyDescent="0.3">
      <c r="A60" s="1" t="s">
        <v>84</v>
      </c>
      <c r="B60" s="1" t="s">
        <v>86</v>
      </c>
      <c r="C60" s="1">
        <v>230.90199999999999</v>
      </c>
      <c r="D60" s="1">
        <v>13.21</v>
      </c>
      <c r="E60" s="1" t="s">
        <v>18</v>
      </c>
      <c r="F60" s="1">
        <v>15.35</v>
      </c>
      <c r="G60" s="1">
        <v>2.2999999999999998</v>
      </c>
      <c r="H60" s="1">
        <v>135</v>
      </c>
      <c r="I60" s="1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3">
        <v>41049</v>
      </c>
      <c r="P60" s="1">
        <v>54.269548290000003</v>
      </c>
    </row>
    <row r="61" spans="1:16" x14ac:dyDescent="0.3">
      <c r="A61" s="1" t="s">
        <v>84</v>
      </c>
      <c r="B61" s="1" t="s">
        <v>87</v>
      </c>
      <c r="C61" s="1">
        <v>73.203000000000003</v>
      </c>
      <c r="D61" s="1">
        <v>17.71</v>
      </c>
      <c r="E61" s="1" t="s">
        <v>41</v>
      </c>
      <c r="F61" s="1">
        <v>20.55</v>
      </c>
      <c r="G61" s="1">
        <v>2</v>
      </c>
      <c r="H61" s="1">
        <v>146</v>
      </c>
      <c r="I61" s="1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3">
        <v>40989</v>
      </c>
      <c r="P61" s="1">
        <v>60.087966620000003</v>
      </c>
    </row>
    <row r="62" spans="1:16" x14ac:dyDescent="0.3">
      <c r="A62" s="1" t="s">
        <v>84</v>
      </c>
      <c r="B62" s="1" t="s">
        <v>88</v>
      </c>
      <c r="C62" s="1">
        <v>12.855</v>
      </c>
      <c r="D62" s="1">
        <v>17.524999999999999</v>
      </c>
      <c r="E62" s="1" t="s">
        <v>41</v>
      </c>
      <c r="F62" s="1">
        <v>26.6</v>
      </c>
      <c r="G62" s="1">
        <v>3.2</v>
      </c>
      <c r="H62" s="1">
        <v>205</v>
      </c>
      <c r="I62" s="1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3">
        <v>41191</v>
      </c>
      <c r="P62" s="1">
        <v>83.602500800000001</v>
      </c>
    </row>
    <row r="63" spans="1:16" x14ac:dyDescent="0.3">
      <c r="A63" s="1" t="s">
        <v>84</v>
      </c>
      <c r="B63" s="1" t="s">
        <v>89</v>
      </c>
      <c r="C63" s="1">
        <v>76.028999999999996</v>
      </c>
      <c r="D63" s="1">
        <v>19.489999999999998</v>
      </c>
      <c r="E63" s="1" t="s">
        <v>41</v>
      </c>
      <c r="F63" s="1">
        <v>26</v>
      </c>
      <c r="G63" s="1">
        <v>3.5</v>
      </c>
      <c r="H63" s="1">
        <v>210</v>
      </c>
      <c r="I63" s="1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3">
        <v>40947</v>
      </c>
      <c r="P63" s="1">
        <v>85.217691340000002</v>
      </c>
    </row>
    <row r="64" spans="1:16" x14ac:dyDescent="0.3">
      <c r="A64" s="1" t="s">
        <v>90</v>
      </c>
      <c r="B64" s="1" t="s">
        <v>91</v>
      </c>
      <c r="C64" s="1">
        <v>41.183999999999997</v>
      </c>
      <c r="D64" s="1">
        <v>5.86</v>
      </c>
      <c r="E64" s="1" t="s">
        <v>18</v>
      </c>
      <c r="F64" s="1">
        <v>9.6989999999999998</v>
      </c>
      <c r="G64" s="1">
        <v>1.5</v>
      </c>
      <c r="H64" s="1">
        <v>92</v>
      </c>
      <c r="I64" s="1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3">
        <v>41162</v>
      </c>
      <c r="P64" s="1">
        <v>36.672283579999998</v>
      </c>
    </row>
    <row r="65" spans="1:16" x14ac:dyDescent="0.3">
      <c r="A65" s="1" t="s">
        <v>90</v>
      </c>
      <c r="B65" s="1" t="s">
        <v>92</v>
      </c>
      <c r="C65" s="1">
        <v>66.691999999999993</v>
      </c>
      <c r="D65" s="1">
        <v>7.8250000000000002</v>
      </c>
      <c r="E65" s="1" t="s">
        <v>18</v>
      </c>
      <c r="F65" s="1">
        <v>11.798999999999999</v>
      </c>
      <c r="G65" s="1">
        <v>2</v>
      </c>
      <c r="H65" s="1">
        <v>140</v>
      </c>
      <c r="I65" s="1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3">
        <v>40862</v>
      </c>
      <c r="P65" s="1">
        <v>54.590045160000003</v>
      </c>
    </row>
    <row r="66" spans="1:16" x14ac:dyDescent="0.3">
      <c r="A66" s="1" t="s">
        <v>90</v>
      </c>
      <c r="B66" s="1" t="s">
        <v>93</v>
      </c>
      <c r="C66" s="1">
        <v>29.45</v>
      </c>
      <c r="D66" s="1">
        <v>8.91</v>
      </c>
      <c r="E66" s="1" t="s">
        <v>18</v>
      </c>
      <c r="F66" s="1">
        <v>14.999000000000001</v>
      </c>
      <c r="G66" s="1">
        <v>2.4</v>
      </c>
      <c r="H66" s="1">
        <v>148</v>
      </c>
      <c r="I66" s="1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3">
        <v>41074</v>
      </c>
      <c r="P66" s="1">
        <v>58.758248999999999</v>
      </c>
    </row>
    <row r="67" spans="1:16" x14ac:dyDescent="0.3">
      <c r="A67" s="1" t="s">
        <v>94</v>
      </c>
      <c r="B67" s="1" t="s">
        <v>95</v>
      </c>
      <c r="C67" s="1">
        <v>23.713000000000001</v>
      </c>
      <c r="D67" s="1">
        <v>19.690000000000001</v>
      </c>
      <c r="E67" s="1" t="s">
        <v>18</v>
      </c>
      <c r="F67" s="1">
        <v>29.465</v>
      </c>
      <c r="G67" s="1">
        <v>3</v>
      </c>
      <c r="H67" s="1">
        <v>227</v>
      </c>
      <c r="I67" s="1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3">
        <v>41014</v>
      </c>
      <c r="P67" s="1">
        <v>92.436889230000006</v>
      </c>
    </row>
    <row r="68" spans="1:16" x14ac:dyDescent="0.3">
      <c r="A68" s="1" t="s">
        <v>96</v>
      </c>
      <c r="B68" s="1" t="s">
        <v>97</v>
      </c>
      <c r="C68" s="1">
        <v>15.467000000000001</v>
      </c>
      <c r="D68" s="5"/>
      <c r="E68" s="1" t="s">
        <v>18</v>
      </c>
      <c r="F68" s="1">
        <v>42.8</v>
      </c>
      <c r="G68" s="1">
        <v>3</v>
      </c>
      <c r="H68" s="1">
        <v>240</v>
      </c>
      <c r="I68" s="1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3">
        <v>41216</v>
      </c>
      <c r="P68" s="1">
        <v>102.17898479999999</v>
      </c>
    </row>
    <row r="69" spans="1:16" x14ac:dyDescent="0.3">
      <c r="A69" s="1" t="s">
        <v>98</v>
      </c>
      <c r="B69" s="1" t="s">
        <v>99</v>
      </c>
      <c r="C69" s="1">
        <v>55.557000000000002</v>
      </c>
      <c r="D69" s="1">
        <v>13.475</v>
      </c>
      <c r="E69" s="1" t="s">
        <v>41</v>
      </c>
      <c r="F69" s="1">
        <v>14.46</v>
      </c>
      <c r="G69" s="1">
        <v>2.5</v>
      </c>
      <c r="H69" s="1">
        <v>120</v>
      </c>
      <c r="I69" s="1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3">
        <v>40972</v>
      </c>
      <c r="P69" s="1">
        <v>48.672897910000003</v>
      </c>
    </row>
    <row r="70" spans="1:16" x14ac:dyDescent="0.3">
      <c r="A70" s="1" t="s">
        <v>98</v>
      </c>
      <c r="B70" s="1" t="s">
        <v>100</v>
      </c>
      <c r="C70" s="1">
        <v>80.555999999999997</v>
      </c>
      <c r="D70" s="1">
        <v>13.775</v>
      </c>
      <c r="E70" s="1" t="s">
        <v>41</v>
      </c>
      <c r="F70" s="1">
        <v>21.62</v>
      </c>
      <c r="G70" s="1">
        <v>4</v>
      </c>
      <c r="H70" s="1">
        <v>190</v>
      </c>
      <c r="I70" s="1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3">
        <v>41187</v>
      </c>
      <c r="P70" s="1">
        <v>76.584439619999998</v>
      </c>
    </row>
    <row r="71" spans="1:16" x14ac:dyDescent="0.3">
      <c r="A71" s="1" t="s">
        <v>98</v>
      </c>
      <c r="B71" s="1" t="s">
        <v>101</v>
      </c>
      <c r="C71" s="1">
        <v>157.04</v>
      </c>
      <c r="D71" s="1">
        <v>18.809999999999999</v>
      </c>
      <c r="E71" s="1" t="s">
        <v>41</v>
      </c>
      <c r="F71" s="1">
        <v>26.895</v>
      </c>
      <c r="G71" s="1">
        <v>4</v>
      </c>
      <c r="H71" s="1">
        <v>195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3">
        <v>40887</v>
      </c>
      <c r="P71" s="1">
        <v>80.387779120000005</v>
      </c>
    </row>
    <row r="72" spans="1:16" x14ac:dyDescent="0.3">
      <c r="A72" s="1" t="s">
        <v>102</v>
      </c>
      <c r="B72" s="1" t="s">
        <v>103</v>
      </c>
      <c r="C72" s="1">
        <v>24.071999999999999</v>
      </c>
      <c r="D72" s="1">
        <v>26.975000000000001</v>
      </c>
      <c r="E72" s="1" t="s">
        <v>18</v>
      </c>
      <c r="F72" s="1">
        <v>31.504999999999999</v>
      </c>
      <c r="G72" s="1">
        <v>3</v>
      </c>
      <c r="H72" s="1">
        <v>210</v>
      </c>
      <c r="I72" s="1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3">
        <v>41099</v>
      </c>
      <c r="P72" s="1">
        <v>87.211001039999999</v>
      </c>
    </row>
    <row r="73" spans="1:16" x14ac:dyDescent="0.3">
      <c r="A73" s="1" t="s">
        <v>102</v>
      </c>
      <c r="B73" s="1" t="s">
        <v>104</v>
      </c>
      <c r="C73" s="1">
        <v>12.698</v>
      </c>
      <c r="D73" s="1">
        <v>32.075000000000003</v>
      </c>
      <c r="E73" s="1" t="s">
        <v>18</v>
      </c>
      <c r="F73" s="1">
        <v>37.805</v>
      </c>
      <c r="G73" s="1">
        <v>3</v>
      </c>
      <c r="H73" s="1">
        <v>225</v>
      </c>
      <c r="I73" s="1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3">
        <v>41039</v>
      </c>
      <c r="P73" s="1">
        <v>94.946698400000002</v>
      </c>
    </row>
    <row r="74" spans="1:16" x14ac:dyDescent="0.3">
      <c r="A74" s="1" t="s">
        <v>102</v>
      </c>
      <c r="B74" s="1" t="s">
        <v>105</v>
      </c>
      <c r="C74" s="1">
        <v>3.3340000000000001</v>
      </c>
      <c r="D74" s="5"/>
      <c r="E74" s="1" t="s">
        <v>18</v>
      </c>
      <c r="F74" s="1">
        <v>46.305</v>
      </c>
      <c r="G74" s="1">
        <v>4</v>
      </c>
      <c r="H74" s="1">
        <v>300</v>
      </c>
      <c r="I74" s="1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3">
        <v>41241</v>
      </c>
      <c r="P74" s="1">
        <v>125.0133574</v>
      </c>
    </row>
    <row r="75" spans="1:16" x14ac:dyDescent="0.3">
      <c r="A75" s="1" t="s">
        <v>102</v>
      </c>
      <c r="B75" s="1" t="s">
        <v>106</v>
      </c>
      <c r="C75" s="1">
        <v>6.375</v>
      </c>
      <c r="D75" s="1">
        <v>40.375</v>
      </c>
      <c r="E75" s="1" t="s">
        <v>18</v>
      </c>
      <c r="F75" s="1">
        <v>54.005000000000003</v>
      </c>
      <c r="G75" s="1">
        <v>4</v>
      </c>
      <c r="H75" s="1">
        <v>290</v>
      </c>
      <c r="I75" s="1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3">
        <v>40997</v>
      </c>
      <c r="P75" s="1">
        <v>124.44671630000001</v>
      </c>
    </row>
    <row r="76" spans="1:16" x14ac:dyDescent="0.3">
      <c r="A76" s="1" t="s">
        <v>102</v>
      </c>
      <c r="B76" s="1" t="s">
        <v>107</v>
      </c>
      <c r="C76" s="1">
        <v>9.1259999999999994</v>
      </c>
      <c r="D76" s="5"/>
      <c r="E76" s="1" t="s">
        <v>41</v>
      </c>
      <c r="F76" s="1">
        <v>60.104999999999997</v>
      </c>
      <c r="G76" s="1">
        <v>4.7</v>
      </c>
      <c r="H76" s="1">
        <v>230</v>
      </c>
      <c r="I76" s="1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3">
        <v>41212</v>
      </c>
      <c r="P76" s="1">
        <v>105.760458</v>
      </c>
    </row>
    <row r="77" spans="1:16" x14ac:dyDescent="0.3">
      <c r="A77" s="1" t="s">
        <v>102</v>
      </c>
      <c r="B77" s="1" t="s">
        <v>108</v>
      </c>
      <c r="C77" s="1">
        <v>51.238</v>
      </c>
      <c r="D77" s="5"/>
      <c r="E77" s="1" t="s">
        <v>41</v>
      </c>
      <c r="F77" s="1">
        <v>34.604999999999997</v>
      </c>
      <c r="G77" s="1">
        <v>3</v>
      </c>
      <c r="H77" s="1">
        <v>220</v>
      </c>
      <c r="I77" s="1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3">
        <v>40912</v>
      </c>
      <c r="P77" s="1">
        <v>91.943801559999997</v>
      </c>
    </row>
    <row r="78" spans="1:16" x14ac:dyDescent="0.3">
      <c r="A78" s="1" t="s">
        <v>109</v>
      </c>
      <c r="B78" s="1" t="s">
        <v>110</v>
      </c>
      <c r="C78" s="1">
        <v>13.798</v>
      </c>
      <c r="D78" s="1">
        <v>20.524999999999999</v>
      </c>
      <c r="E78" s="1" t="s">
        <v>18</v>
      </c>
      <c r="F78" s="1">
        <v>39.08</v>
      </c>
      <c r="G78" s="1">
        <v>4.5999999999999996</v>
      </c>
      <c r="H78" s="1">
        <v>275</v>
      </c>
      <c r="I78" s="1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3">
        <v>41124</v>
      </c>
      <c r="P78" s="1">
        <v>113.5402069</v>
      </c>
    </row>
    <row r="79" spans="1:16" x14ac:dyDescent="0.3">
      <c r="A79" s="1" t="s">
        <v>109</v>
      </c>
      <c r="B79" s="1" t="s">
        <v>111</v>
      </c>
      <c r="C79" s="1">
        <v>48.911000000000001</v>
      </c>
      <c r="D79" s="1">
        <v>21.725000000000001</v>
      </c>
      <c r="E79" s="1" t="s">
        <v>18</v>
      </c>
      <c r="F79" s="1">
        <v>43.33</v>
      </c>
      <c r="G79" s="1">
        <v>4.5999999999999996</v>
      </c>
      <c r="H79" s="1">
        <v>215</v>
      </c>
      <c r="I79" s="1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3">
        <v>41064</v>
      </c>
      <c r="P79" s="1">
        <v>93.957916900000001</v>
      </c>
    </row>
    <row r="80" spans="1:16" x14ac:dyDescent="0.3">
      <c r="A80" s="1" t="s">
        <v>109</v>
      </c>
      <c r="B80" s="1" t="s">
        <v>112</v>
      </c>
      <c r="C80" s="1">
        <v>22.925000000000001</v>
      </c>
      <c r="D80" s="5"/>
      <c r="E80" s="1" t="s">
        <v>41</v>
      </c>
      <c r="F80" s="1">
        <v>42.66</v>
      </c>
      <c r="G80" s="1">
        <v>5.4</v>
      </c>
      <c r="H80" s="1">
        <v>300</v>
      </c>
      <c r="I80" s="1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3">
        <v>41266</v>
      </c>
      <c r="P80" s="1">
        <v>123.97204670000001</v>
      </c>
    </row>
    <row r="81" spans="1:16" x14ac:dyDescent="0.3">
      <c r="A81" s="1" t="s">
        <v>113</v>
      </c>
      <c r="B81" s="1" t="s">
        <v>114</v>
      </c>
      <c r="C81" s="1">
        <v>26.231999999999999</v>
      </c>
      <c r="D81" s="1">
        <v>8.3249999999999993</v>
      </c>
      <c r="E81" s="1" t="s">
        <v>18</v>
      </c>
      <c r="F81" s="1">
        <v>13.987</v>
      </c>
      <c r="G81" s="1">
        <v>1.8</v>
      </c>
      <c r="H81" s="1">
        <v>113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3">
        <v>41022</v>
      </c>
      <c r="P81" s="1">
        <v>45.832180559999998</v>
      </c>
    </row>
    <row r="82" spans="1:16" x14ac:dyDescent="0.3">
      <c r="A82" s="1" t="s">
        <v>113</v>
      </c>
      <c r="B82" s="1" t="s">
        <v>115</v>
      </c>
      <c r="C82" s="1">
        <v>42.540999999999997</v>
      </c>
      <c r="D82" s="1">
        <v>10.395</v>
      </c>
      <c r="E82" s="1" t="s">
        <v>18</v>
      </c>
      <c r="F82" s="1">
        <v>19.047000000000001</v>
      </c>
      <c r="G82" s="1">
        <v>2.4</v>
      </c>
      <c r="H82" s="1">
        <v>154</v>
      </c>
      <c r="I82" s="1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3">
        <v>41237</v>
      </c>
      <c r="P82" s="1">
        <v>62.441962349999997</v>
      </c>
    </row>
    <row r="83" spans="1:16" x14ac:dyDescent="0.3">
      <c r="A83" s="1" t="s">
        <v>113</v>
      </c>
      <c r="B83" s="1" t="s">
        <v>116</v>
      </c>
      <c r="C83" s="1">
        <v>55.616</v>
      </c>
      <c r="D83" s="1">
        <v>10.595000000000001</v>
      </c>
      <c r="E83" s="1" t="s">
        <v>18</v>
      </c>
      <c r="F83" s="1">
        <v>17.356999999999999</v>
      </c>
      <c r="G83" s="1">
        <v>2.4</v>
      </c>
      <c r="H83" s="1">
        <v>145</v>
      </c>
      <c r="I83" s="1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3">
        <v>40937</v>
      </c>
      <c r="P83" s="1">
        <v>58.606772919999997</v>
      </c>
    </row>
    <row r="84" spans="1:16" x14ac:dyDescent="0.3">
      <c r="A84" s="1" t="s">
        <v>113</v>
      </c>
      <c r="B84" s="1" t="s">
        <v>117</v>
      </c>
      <c r="C84" s="1">
        <v>5.7110000000000003</v>
      </c>
      <c r="D84" s="1">
        <v>16.574999999999999</v>
      </c>
      <c r="E84" s="1" t="s">
        <v>18</v>
      </c>
      <c r="F84" s="1">
        <v>24.997</v>
      </c>
      <c r="G84" s="1">
        <v>3.5</v>
      </c>
      <c r="H84" s="1">
        <v>210</v>
      </c>
      <c r="I84" s="1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3">
        <v>41149</v>
      </c>
      <c r="P84" s="1">
        <v>84.83077858</v>
      </c>
    </row>
    <row r="85" spans="1:16" x14ac:dyDescent="0.3">
      <c r="A85" s="1" t="s">
        <v>113</v>
      </c>
      <c r="B85" s="1" t="s">
        <v>118</v>
      </c>
      <c r="C85" s="1">
        <v>0.11</v>
      </c>
      <c r="D85" s="1">
        <v>20.94</v>
      </c>
      <c r="E85" s="1" t="s">
        <v>18</v>
      </c>
      <c r="F85" s="1">
        <v>25.45</v>
      </c>
      <c r="G85" s="1">
        <v>3</v>
      </c>
      <c r="H85" s="1">
        <v>161</v>
      </c>
      <c r="I85" s="1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3">
        <v>41089</v>
      </c>
      <c r="P85" s="1">
        <v>67.544154939999999</v>
      </c>
    </row>
    <row r="86" spans="1:16" x14ac:dyDescent="0.3">
      <c r="A86" s="1" t="s">
        <v>113</v>
      </c>
      <c r="B86" s="1" t="s">
        <v>119</v>
      </c>
      <c r="C86" s="1">
        <v>11.337</v>
      </c>
      <c r="D86" s="1">
        <v>19.125</v>
      </c>
      <c r="E86" s="1" t="s">
        <v>41</v>
      </c>
      <c r="F86" s="1">
        <v>31.806999999999999</v>
      </c>
      <c r="G86" s="1">
        <v>3.5</v>
      </c>
      <c r="H86" s="1">
        <v>200</v>
      </c>
      <c r="I86" s="1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3">
        <v>40925</v>
      </c>
      <c r="P86" s="1">
        <v>83.920815039999994</v>
      </c>
    </row>
    <row r="87" spans="1:16" x14ac:dyDescent="0.3">
      <c r="A87" s="1" t="s">
        <v>113</v>
      </c>
      <c r="B87" s="1" t="s">
        <v>120</v>
      </c>
      <c r="C87" s="1">
        <v>39.347999999999999</v>
      </c>
      <c r="D87" s="1">
        <v>13.88</v>
      </c>
      <c r="E87" s="1" t="s">
        <v>41</v>
      </c>
      <c r="F87" s="1">
        <v>22.527000000000001</v>
      </c>
      <c r="G87" s="1">
        <v>3</v>
      </c>
      <c r="H87" s="1">
        <v>173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3">
        <v>41047</v>
      </c>
      <c r="P87" s="1">
        <v>70.660941789999995</v>
      </c>
    </row>
    <row r="88" spans="1:16" x14ac:dyDescent="0.3">
      <c r="A88" s="1" t="s">
        <v>121</v>
      </c>
      <c r="B88" s="1" t="s">
        <v>122</v>
      </c>
      <c r="C88" s="1">
        <v>14.351000000000001</v>
      </c>
      <c r="D88" s="1">
        <v>8.8000000000000007</v>
      </c>
      <c r="E88" s="1" t="s">
        <v>18</v>
      </c>
      <c r="F88" s="1">
        <v>16.239999999999998</v>
      </c>
      <c r="G88" s="1">
        <v>2</v>
      </c>
      <c r="H88" s="1">
        <v>125</v>
      </c>
      <c r="I88" s="1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3">
        <v>41262</v>
      </c>
      <c r="P88" s="1">
        <v>50.997747609999998</v>
      </c>
    </row>
    <row r="89" spans="1:16" x14ac:dyDescent="0.3">
      <c r="A89" s="1" t="s">
        <v>121</v>
      </c>
      <c r="B89" s="1" t="s">
        <v>123</v>
      </c>
      <c r="C89" s="1">
        <v>26.529</v>
      </c>
      <c r="D89" s="1">
        <v>13.89</v>
      </c>
      <c r="E89" s="1" t="s">
        <v>18</v>
      </c>
      <c r="F89" s="1">
        <v>16.54</v>
      </c>
      <c r="G89" s="1">
        <v>2</v>
      </c>
      <c r="H89" s="1">
        <v>125</v>
      </c>
      <c r="I89" s="1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3">
        <v>40962</v>
      </c>
      <c r="P89" s="1">
        <v>51.113474259999997</v>
      </c>
    </row>
    <row r="90" spans="1:16" x14ac:dyDescent="0.3">
      <c r="A90" s="1" t="s">
        <v>121</v>
      </c>
      <c r="B90" s="1" t="s">
        <v>124</v>
      </c>
      <c r="C90" s="1">
        <v>67.956000000000003</v>
      </c>
      <c r="D90" s="1">
        <v>11.03</v>
      </c>
      <c r="E90" s="1" t="s">
        <v>18</v>
      </c>
      <c r="F90" s="1">
        <v>19.035</v>
      </c>
      <c r="G90" s="1">
        <v>3</v>
      </c>
      <c r="H90" s="1">
        <v>153</v>
      </c>
      <c r="I90" s="1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3">
        <v>41174</v>
      </c>
      <c r="P90" s="1">
        <v>62.239966629999998</v>
      </c>
    </row>
    <row r="91" spans="1:16" x14ac:dyDescent="0.3">
      <c r="A91" s="1" t="s">
        <v>121</v>
      </c>
      <c r="B91" s="1" t="s">
        <v>125</v>
      </c>
      <c r="C91" s="1">
        <v>81.174000000000007</v>
      </c>
      <c r="D91" s="1">
        <v>14.875</v>
      </c>
      <c r="E91" s="1" t="s">
        <v>18</v>
      </c>
      <c r="F91" s="1">
        <v>22.605</v>
      </c>
      <c r="G91" s="1">
        <v>4.5999999999999996</v>
      </c>
      <c r="H91" s="1">
        <v>200</v>
      </c>
      <c r="I91" s="1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3">
        <v>41114</v>
      </c>
      <c r="P91" s="1">
        <v>80.657696459999997</v>
      </c>
    </row>
    <row r="92" spans="1:16" x14ac:dyDescent="0.3">
      <c r="A92" s="1" t="s">
        <v>121</v>
      </c>
      <c r="B92" s="1" t="s">
        <v>126</v>
      </c>
      <c r="C92" s="1">
        <v>27.609000000000002</v>
      </c>
      <c r="D92" s="1">
        <v>20.43</v>
      </c>
      <c r="E92" s="1" t="s">
        <v>41</v>
      </c>
      <c r="F92" s="1">
        <v>27.56</v>
      </c>
      <c r="G92" s="1">
        <v>4</v>
      </c>
      <c r="H92" s="1">
        <v>210</v>
      </c>
      <c r="I92" s="1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3">
        <v>39491</v>
      </c>
      <c r="P92" s="1">
        <v>85.949744249999995</v>
      </c>
    </row>
    <row r="93" spans="1:16" x14ac:dyDescent="0.3">
      <c r="A93" s="1" t="s">
        <v>121</v>
      </c>
      <c r="B93" s="1" t="s">
        <v>127</v>
      </c>
      <c r="C93" s="1">
        <v>20.38</v>
      </c>
      <c r="D93" s="1">
        <v>14.795</v>
      </c>
      <c r="E93" s="1" t="s">
        <v>41</v>
      </c>
      <c r="F93" s="1">
        <v>22.51</v>
      </c>
      <c r="G93" s="1">
        <v>3.3</v>
      </c>
      <c r="H93" s="1">
        <v>170</v>
      </c>
      <c r="I93" s="1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3">
        <v>40106</v>
      </c>
      <c r="P93" s="1">
        <v>69.671460999999994</v>
      </c>
    </row>
    <row r="94" spans="1:16" x14ac:dyDescent="0.3">
      <c r="A94" s="1" t="s">
        <v>128</v>
      </c>
      <c r="B94" s="1" t="s">
        <v>129</v>
      </c>
      <c r="C94" s="1">
        <v>18.391999999999999</v>
      </c>
      <c r="D94" s="1">
        <v>26.05</v>
      </c>
      <c r="E94" s="1" t="s">
        <v>18</v>
      </c>
      <c r="F94" s="1">
        <v>31.75</v>
      </c>
      <c r="G94" s="1">
        <v>2.2999999999999998</v>
      </c>
      <c r="H94" s="1">
        <v>185</v>
      </c>
      <c r="I94" s="1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3">
        <v>40657</v>
      </c>
      <c r="P94" s="1">
        <v>78.280730879999993</v>
      </c>
    </row>
    <row r="95" spans="1:16" x14ac:dyDescent="0.3">
      <c r="A95" s="1" t="s">
        <v>128</v>
      </c>
      <c r="B95" s="1" t="s">
        <v>130</v>
      </c>
      <c r="C95" s="1">
        <v>27.602</v>
      </c>
      <c r="D95" s="1">
        <v>41.45</v>
      </c>
      <c r="E95" s="1" t="s">
        <v>18</v>
      </c>
      <c r="F95" s="1">
        <v>49.9</v>
      </c>
      <c r="G95" s="1">
        <v>3.2</v>
      </c>
      <c r="H95" s="1">
        <v>221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3">
        <v>40736</v>
      </c>
      <c r="P95" s="1">
        <v>98.249737499999995</v>
      </c>
    </row>
    <row r="96" spans="1:16" x14ac:dyDescent="0.3">
      <c r="A96" s="1" t="s">
        <v>128</v>
      </c>
      <c r="B96" s="1" t="s">
        <v>131</v>
      </c>
      <c r="C96" s="1">
        <v>16.774000000000001</v>
      </c>
      <c r="D96" s="1">
        <v>50.375</v>
      </c>
      <c r="E96" s="1" t="s">
        <v>18</v>
      </c>
      <c r="F96" s="1">
        <v>69.7</v>
      </c>
      <c r="G96" s="1">
        <v>4.3</v>
      </c>
      <c r="H96" s="1">
        <v>275</v>
      </c>
      <c r="I96" s="1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3">
        <v>40707</v>
      </c>
      <c r="P96" s="1">
        <v>125.2738757</v>
      </c>
    </row>
    <row r="97" spans="1:16" x14ac:dyDescent="0.3">
      <c r="A97" s="1" t="s">
        <v>128</v>
      </c>
      <c r="B97" s="1" t="s">
        <v>132</v>
      </c>
      <c r="C97" s="1">
        <v>3.3109999999999999</v>
      </c>
      <c r="D97" s="1">
        <v>58.6</v>
      </c>
      <c r="E97" s="1" t="s">
        <v>18</v>
      </c>
      <c r="F97" s="1">
        <v>82.6</v>
      </c>
      <c r="G97" s="1">
        <v>5</v>
      </c>
      <c r="H97" s="1">
        <v>302</v>
      </c>
      <c r="I97" s="1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3">
        <v>40619</v>
      </c>
      <c r="P97" s="1">
        <v>139.98229359999999</v>
      </c>
    </row>
    <row r="98" spans="1:16" x14ac:dyDescent="0.3">
      <c r="A98" s="1" t="s">
        <v>128</v>
      </c>
      <c r="B98" s="1" t="s">
        <v>133</v>
      </c>
      <c r="C98" s="1">
        <v>7.9980000000000002</v>
      </c>
      <c r="D98" s="5"/>
      <c r="E98" s="1" t="s">
        <v>18</v>
      </c>
      <c r="F98" s="1">
        <v>38.9</v>
      </c>
      <c r="G98" s="1">
        <v>2.2999999999999998</v>
      </c>
      <c r="H98" s="1">
        <v>190</v>
      </c>
      <c r="I98" s="1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3">
        <v>40559</v>
      </c>
      <c r="P98" s="1">
        <v>82.807361929999999</v>
      </c>
    </row>
    <row r="99" spans="1:16" x14ac:dyDescent="0.3">
      <c r="A99" s="1" t="s">
        <v>128</v>
      </c>
      <c r="B99" s="1" t="s">
        <v>134</v>
      </c>
      <c r="C99" s="1">
        <v>1.526</v>
      </c>
      <c r="D99" s="5"/>
      <c r="E99" s="1" t="s">
        <v>18</v>
      </c>
      <c r="F99" s="1">
        <v>41</v>
      </c>
      <c r="G99" s="1">
        <v>2.2999999999999998</v>
      </c>
      <c r="H99" s="1">
        <v>185</v>
      </c>
      <c r="I99" s="1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3">
        <v>40761</v>
      </c>
      <c r="P99" s="1">
        <v>81.848969240000002</v>
      </c>
    </row>
    <row r="100" spans="1:16" x14ac:dyDescent="0.3">
      <c r="A100" s="1" t="s">
        <v>128</v>
      </c>
      <c r="B100" s="1" t="s">
        <v>135</v>
      </c>
      <c r="C100" s="1">
        <v>11.592000000000001</v>
      </c>
      <c r="D100" s="5"/>
      <c r="E100" s="1" t="s">
        <v>18</v>
      </c>
      <c r="F100" s="1">
        <v>41.6</v>
      </c>
      <c r="G100" s="1">
        <v>3.2</v>
      </c>
      <c r="H100" s="1">
        <v>215</v>
      </c>
      <c r="I100" s="1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3">
        <v>40732</v>
      </c>
      <c r="P100" s="1">
        <v>92.925791770000004</v>
      </c>
    </row>
    <row r="101" spans="1:16" x14ac:dyDescent="0.3">
      <c r="A101" s="1" t="s">
        <v>128</v>
      </c>
      <c r="B101" s="1" t="s">
        <v>136</v>
      </c>
      <c r="C101" s="1">
        <v>0.95399999999999996</v>
      </c>
      <c r="D101" s="5"/>
      <c r="E101" s="1" t="s">
        <v>18</v>
      </c>
      <c r="F101" s="1">
        <v>85.5</v>
      </c>
      <c r="G101" s="1">
        <v>5</v>
      </c>
      <c r="H101" s="1">
        <v>302</v>
      </c>
      <c r="I101" s="1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3">
        <v>40644</v>
      </c>
      <c r="P101" s="1">
        <v>141.10098450000001</v>
      </c>
    </row>
    <row r="102" spans="1:16" x14ac:dyDescent="0.3">
      <c r="A102" s="1" t="s">
        <v>128</v>
      </c>
      <c r="B102" s="1" t="s">
        <v>137</v>
      </c>
      <c r="C102" s="1">
        <v>28.975999999999999</v>
      </c>
      <c r="D102" s="5"/>
      <c r="E102" s="1" t="s">
        <v>41</v>
      </c>
      <c r="F102" s="1">
        <v>35.299999999999997</v>
      </c>
      <c r="G102" s="1">
        <v>3.2</v>
      </c>
      <c r="H102" s="1">
        <v>215</v>
      </c>
      <c r="I102" s="1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3">
        <v>40584</v>
      </c>
      <c r="P102" s="1">
        <v>90.495532130000001</v>
      </c>
    </row>
    <row r="103" spans="1:16" x14ac:dyDescent="0.3">
      <c r="A103" s="1" t="s">
        <v>138</v>
      </c>
      <c r="B103" s="1" t="s">
        <v>139</v>
      </c>
      <c r="C103" s="1">
        <v>42.643000000000001</v>
      </c>
      <c r="D103" s="1">
        <v>8.4499999999999993</v>
      </c>
      <c r="E103" s="1" t="s">
        <v>18</v>
      </c>
      <c r="F103" s="1">
        <v>13.499000000000001</v>
      </c>
      <c r="G103" s="1">
        <v>1.8</v>
      </c>
      <c r="H103" s="1">
        <v>126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3">
        <v>40786</v>
      </c>
      <c r="P103" s="1">
        <v>50.241977910000003</v>
      </c>
    </row>
    <row r="104" spans="1:16" x14ac:dyDescent="0.3">
      <c r="A104" s="1" t="s">
        <v>138</v>
      </c>
      <c r="B104" s="1" t="s">
        <v>140</v>
      </c>
      <c r="C104" s="1">
        <v>88.093999999999994</v>
      </c>
      <c r="D104" s="1">
        <v>11.295</v>
      </c>
      <c r="E104" s="1" t="s">
        <v>18</v>
      </c>
      <c r="F104" s="1">
        <v>20.39</v>
      </c>
      <c r="G104" s="1">
        <v>2.4</v>
      </c>
      <c r="H104" s="1">
        <v>155</v>
      </c>
      <c r="I104" s="1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3">
        <v>40757</v>
      </c>
      <c r="P104" s="1">
        <v>63.313727829999998</v>
      </c>
    </row>
    <row r="105" spans="1:16" x14ac:dyDescent="0.3">
      <c r="A105" s="1" t="s">
        <v>138</v>
      </c>
      <c r="B105" s="1" t="s">
        <v>141</v>
      </c>
      <c r="C105" s="1">
        <v>79.852999999999994</v>
      </c>
      <c r="D105" s="1">
        <v>15.125</v>
      </c>
      <c r="E105" s="1" t="s">
        <v>18</v>
      </c>
      <c r="F105" s="1">
        <v>26.248999999999999</v>
      </c>
      <c r="G105" s="1">
        <v>3</v>
      </c>
      <c r="H105" s="1">
        <v>222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3">
        <v>40669</v>
      </c>
      <c r="P105" s="1">
        <v>89.427820310000001</v>
      </c>
    </row>
    <row r="106" spans="1:16" x14ac:dyDescent="0.3">
      <c r="A106" s="1" t="s">
        <v>138</v>
      </c>
      <c r="B106" s="1" t="s">
        <v>142</v>
      </c>
      <c r="C106" s="1">
        <v>27.308</v>
      </c>
      <c r="D106" s="1">
        <v>15.38</v>
      </c>
      <c r="E106" s="1" t="s">
        <v>41</v>
      </c>
      <c r="F106" s="1">
        <v>26.399000000000001</v>
      </c>
      <c r="G106" s="1">
        <v>3.3</v>
      </c>
      <c r="H106" s="1">
        <v>170</v>
      </c>
      <c r="I106" s="1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3">
        <v>40609</v>
      </c>
      <c r="P106" s="1">
        <v>71.171664129999996</v>
      </c>
    </row>
    <row r="107" spans="1:16" x14ac:dyDescent="0.3">
      <c r="A107" s="1" t="s">
        <v>138</v>
      </c>
      <c r="B107" s="1" t="s">
        <v>143</v>
      </c>
      <c r="C107" s="1">
        <v>42.573999999999998</v>
      </c>
      <c r="D107" s="1">
        <v>17.809999999999999</v>
      </c>
      <c r="E107" s="1" t="s">
        <v>41</v>
      </c>
      <c r="F107" s="1">
        <v>29.298999999999999</v>
      </c>
      <c r="G107" s="1">
        <v>3.3</v>
      </c>
      <c r="H107" s="1">
        <v>170</v>
      </c>
      <c r="I107" s="1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3">
        <v>40811</v>
      </c>
      <c r="P107" s="1">
        <v>72.290355079999998</v>
      </c>
    </row>
    <row r="108" spans="1:16" x14ac:dyDescent="0.3">
      <c r="A108" s="1" t="s">
        <v>138</v>
      </c>
      <c r="B108" s="1" t="s">
        <v>144</v>
      </c>
      <c r="C108" s="1">
        <v>54.158000000000001</v>
      </c>
      <c r="D108" s="5"/>
      <c r="E108" s="1" t="s">
        <v>41</v>
      </c>
      <c r="F108" s="1">
        <v>22.798999999999999</v>
      </c>
      <c r="G108" s="1">
        <v>3.3</v>
      </c>
      <c r="H108" s="1">
        <v>170</v>
      </c>
      <c r="I108" s="1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3">
        <v>40567</v>
      </c>
      <c r="P108" s="1">
        <v>69.78294434</v>
      </c>
    </row>
    <row r="109" spans="1:16" x14ac:dyDescent="0.3">
      <c r="A109" s="1" t="s">
        <v>138</v>
      </c>
      <c r="B109" s="1" t="s">
        <v>145</v>
      </c>
      <c r="C109" s="1">
        <v>65.004999999999995</v>
      </c>
      <c r="D109" s="5"/>
      <c r="E109" s="1" t="s">
        <v>41</v>
      </c>
      <c r="F109" s="1">
        <v>17.89</v>
      </c>
      <c r="G109" s="1">
        <v>3.3</v>
      </c>
      <c r="H109" s="1">
        <v>170</v>
      </c>
      <c r="I109" s="1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3">
        <v>40782</v>
      </c>
      <c r="P109" s="1">
        <v>67.889270589999995</v>
      </c>
    </row>
    <row r="110" spans="1:16" x14ac:dyDescent="0.3">
      <c r="A110" s="1" t="s">
        <v>146</v>
      </c>
      <c r="B110" s="1" t="s">
        <v>147</v>
      </c>
      <c r="C110" s="1">
        <v>1.1120000000000001</v>
      </c>
      <c r="D110" s="1">
        <v>11.24</v>
      </c>
      <c r="E110" s="1" t="s">
        <v>18</v>
      </c>
      <c r="F110" s="1">
        <v>18.145</v>
      </c>
      <c r="G110" s="1">
        <v>3.1</v>
      </c>
      <c r="H110" s="1">
        <v>150</v>
      </c>
      <c r="I110" s="1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3">
        <v>40694</v>
      </c>
      <c r="P110" s="1">
        <v>60.861611549999999</v>
      </c>
    </row>
    <row r="111" spans="1:16" x14ac:dyDescent="0.3">
      <c r="A111" s="1" t="s">
        <v>146</v>
      </c>
      <c r="B111" s="1" t="s">
        <v>148</v>
      </c>
      <c r="C111" s="1">
        <v>38.554000000000002</v>
      </c>
      <c r="D111" s="5"/>
      <c r="E111" s="1" t="s">
        <v>18</v>
      </c>
      <c r="F111" s="1">
        <v>24.15</v>
      </c>
      <c r="G111" s="1">
        <v>3.5</v>
      </c>
      <c r="H111" s="1">
        <v>215</v>
      </c>
      <c r="I111" s="1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N111" s="5"/>
      <c r="O111" s="3">
        <v>40634</v>
      </c>
      <c r="P111" s="1">
        <v>86.272522910000006</v>
      </c>
    </row>
    <row r="112" spans="1:16" x14ac:dyDescent="0.3">
      <c r="A112" s="1" t="s">
        <v>146</v>
      </c>
      <c r="B112" s="1" t="s">
        <v>149</v>
      </c>
      <c r="C112" s="1">
        <v>80.254999999999995</v>
      </c>
      <c r="D112" s="5"/>
      <c r="E112" s="1" t="s">
        <v>18</v>
      </c>
      <c r="F112" s="1">
        <v>18.27</v>
      </c>
      <c r="G112" s="1">
        <v>2.4</v>
      </c>
      <c r="H112" s="1">
        <v>150</v>
      </c>
      <c r="I112" s="1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3">
        <v>40106</v>
      </c>
      <c r="P112" s="1">
        <v>60.727446929999999</v>
      </c>
    </row>
    <row r="113" spans="1:16" x14ac:dyDescent="0.3">
      <c r="A113" s="1" t="s">
        <v>146</v>
      </c>
      <c r="B113" s="1" t="s">
        <v>150</v>
      </c>
      <c r="C113" s="1">
        <v>14.69</v>
      </c>
      <c r="D113" s="1">
        <v>19.89</v>
      </c>
      <c r="E113" s="1" t="s">
        <v>18</v>
      </c>
      <c r="F113" s="1">
        <v>36.228999999999999</v>
      </c>
      <c r="G113" s="1">
        <v>4</v>
      </c>
      <c r="H113" s="1">
        <v>250</v>
      </c>
      <c r="I113" s="1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3">
        <v>40592</v>
      </c>
      <c r="P113" s="1">
        <v>103.4416926</v>
      </c>
    </row>
    <row r="114" spans="1:16" x14ac:dyDescent="0.3">
      <c r="A114" s="1" t="s">
        <v>146</v>
      </c>
      <c r="B114" s="1" t="s">
        <v>151</v>
      </c>
      <c r="C114" s="1">
        <v>20.016999999999999</v>
      </c>
      <c r="D114" s="1">
        <v>19.925000000000001</v>
      </c>
      <c r="E114" s="1" t="s">
        <v>41</v>
      </c>
      <c r="F114" s="1">
        <v>31.597999999999999</v>
      </c>
      <c r="G114" s="1">
        <v>4.3</v>
      </c>
      <c r="H114" s="1">
        <v>190</v>
      </c>
      <c r="I114" s="1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3">
        <v>40807</v>
      </c>
      <c r="P114" s="1">
        <v>80.511672590000003</v>
      </c>
    </row>
    <row r="115" spans="1:16" x14ac:dyDescent="0.3">
      <c r="A115" s="1" t="s">
        <v>146</v>
      </c>
      <c r="B115" s="1" t="s">
        <v>152</v>
      </c>
      <c r="C115" s="1">
        <v>24.361000000000001</v>
      </c>
      <c r="D115" s="1">
        <v>15.24</v>
      </c>
      <c r="E115" s="1" t="s">
        <v>41</v>
      </c>
      <c r="F115" s="1">
        <v>25.344999999999999</v>
      </c>
      <c r="G115" s="1">
        <v>3.4</v>
      </c>
      <c r="H115" s="1">
        <v>185</v>
      </c>
      <c r="I115" s="1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3">
        <v>40719</v>
      </c>
      <c r="P115" s="1">
        <v>76.096570420000006</v>
      </c>
    </row>
    <row r="116" spans="1:16" x14ac:dyDescent="0.3">
      <c r="A116" s="1" t="s">
        <v>153</v>
      </c>
      <c r="B116" s="1" t="s">
        <v>61</v>
      </c>
      <c r="C116" s="1">
        <v>32.734000000000002</v>
      </c>
      <c r="D116" s="1">
        <v>7.75</v>
      </c>
      <c r="E116" s="1" t="s">
        <v>18</v>
      </c>
      <c r="F116" s="1">
        <v>12.64</v>
      </c>
      <c r="G116" s="1">
        <v>2</v>
      </c>
      <c r="H116" s="1">
        <v>132</v>
      </c>
      <c r="I116" s="1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3">
        <v>40659</v>
      </c>
      <c r="P116" s="1">
        <v>52.084898750000001</v>
      </c>
    </row>
    <row r="117" spans="1:16" x14ac:dyDescent="0.3">
      <c r="A117" s="1" t="s">
        <v>153</v>
      </c>
      <c r="B117" s="1" t="s">
        <v>154</v>
      </c>
      <c r="C117" s="1">
        <v>5.24</v>
      </c>
      <c r="D117" s="1">
        <v>9.8000000000000007</v>
      </c>
      <c r="E117" s="1" t="s">
        <v>18</v>
      </c>
      <c r="F117" s="1">
        <v>16.079999999999998</v>
      </c>
      <c r="G117" s="1">
        <v>2</v>
      </c>
      <c r="H117" s="1">
        <v>132</v>
      </c>
      <c r="I117" s="1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3">
        <v>40861</v>
      </c>
      <c r="P117" s="1">
        <v>53.411897670000002</v>
      </c>
    </row>
    <row r="118" spans="1:16" x14ac:dyDescent="0.3">
      <c r="A118" s="1" t="s">
        <v>153</v>
      </c>
      <c r="B118" s="1" t="s">
        <v>155</v>
      </c>
      <c r="C118" s="1">
        <v>24.155000000000001</v>
      </c>
      <c r="D118" s="1">
        <v>12.025</v>
      </c>
      <c r="E118" s="1" t="s">
        <v>41</v>
      </c>
      <c r="F118" s="1">
        <v>18.850000000000001</v>
      </c>
      <c r="G118" s="1">
        <v>2.4</v>
      </c>
      <c r="H118" s="1">
        <v>150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3">
        <v>40657</v>
      </c>
      <c r="P118" s="1">
        <v>60.951185119999998</v>
      </c>
    </row>
    <row r="119" spans="1:16" x14ac:dyDescent="0.3">
      <c r="A119" s="1" t="s">
        <v>153</v>
      </c>
      <c r="B119" s="1" t="s">
        <v>156</v>
      </c>
      <c r="C119" s="1">
        <v>1.8720000000000001</v>
      </c>
      <c r="D119" s="5"/>
      <c r="E119" s="1" t="s">
        <v>18</v>
      </c>
      <c r="F119" s="1">
        <v>43</v>
      </c>
      <c r="G119" s="1">
        <v>3.5</v>
      </c>
      <c r="H119" s="1">
        <v>253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3">
        <v>41087</v>
      </c>
      <c r="P119" s="1">
        <v>106.98445630000001</v>
      </c>
    </row>
    <row r="120" spans="1:16" x14ac:dyDescent="0.3">
      <c r="A120" s="1" t="s">
        <v>157</v>
      </c>
      <c r="B120" s="1" t="s">
        <v>158</v>
      </c>
      <c r="C120" s="1">
        <v>51.645000000000003</v>
      </c>
      <c r="D120" s="1">
        <v>13.79</v>
      </c>
      <c r="E120" s="1" t="s">
        <v>18</v>
      </c>
      <c r="F120" s="1">
        <v>21.61</v>
      </c>
      <c r="G120" s="1">
        <v>2.4</v>
      </c>
      <c r="H120" s="1">
        <v>150</v>
      </c>
      <c r="I120" s="1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3">
        <v>40933</v>
      </c>
      <c r="P120" s="1">
        <v>62.015870300000003</v>
      </c>
    </row>
    <row r="121" spans="1:16" x14ac:dyDescent="0.3">
      <c r="A121" s="1" t="s">
        <v>157</v>
      </c>
      <c r="B121" s="1" t="s">
        <v>159</v>
      </c>
      <c r="C121" s="1">
        <v>131.09700000000001</v>
      </c>
      <c r="D121" s="1">
        <v>10.29</v>
      </c>
      <c r="E121" s="1" t="s">
        <v>18</v>
      </c>
      <c r="F121" s="1">
        <v>19.72</v>
      </c>
      <c r="G121" s="1">
        <v>3.4</v>
      </c>
      <c r="H121" s="1">
        <v>175</v>
      </c>
      <c r="I121" s="1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3">
        <v>41239</v>
      </c>
      <c r="P121" s="1">
        <v>70.389737260000004</v>
      </c>
    </row>
    <row r="122" spans="1:16" x14ac:dyDescent="0.3">
      <c r="A122" s="1" t="s">
        <v>157</v>
      </c>
      <c r="B122" s="1" t="s">
        <v>160</v>
      </c>
      <c r="C122" s="1">
        <v>19.911000000000001</v>
      </c>
      <c r="D122" s="1">
        <v>17.805</v>
      </c>
      <c r="E122" s="1" t="s">
        <v>18</v>
      </c>
      <c r="F122" s="1">
        <v>25.31</v>
      </c>
      <c r="G122" s="1">
        <v>3.8</v>
      </c>
      <c r="H122" s="1">
        <v>200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3">
        <v>41076</v>
      </c>
      <c r="P122" s="1">
        <v>81.492726160000004</v>
      </c>
    </row>
    <row r="123" spans="1:16" x14ac:dyDescent="0.3">
      <c r="A123" s="1" t="s">
        <v>157</v>
      </c>
      <c r="B123" s="1" t="s">
        <v>161</v>
      </c>
      <c r="C123" s="1">
        <v>92.364000000000004</v>
      </c>
      <c r="D123" s="1">
        <v>14.01</v>
      </c>
      <c r="E123" s="1" t="s">
        <v>18</v>
      </c>
      <c r="F123" s="1">
        <v>21.664999999999999</v>
      </c>
      <c r="G123" s="1">
        <v>3.8</v>
      </c>
      <c r="H123" s="1">
        <v>195</v>
      </c>
      <c r="I123" s="1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3">
        <v>41197</v>
      </c>
      <c r="P123" s="1">
        <v>78.318168130000004</v>
      </c>
    </row>
    <row r="124" spans="1:16" x14ac:dyDescent="0.3">
      <c r="A124" s="1" t="s">
        <v>157</v>
      </c>
      <c r="B124" s="1" t="s">
        <v>162</v>
      </c>
      <c r="C124" s="1">
        <v>35.945</v>
      </c>
      <c r="D124" s="1">
        <v>13.225</v>
      </c>
      <c r="E124" s="1" t="s">
        <v>18</v>
      </c>
      <c r="F124" s="1">
        <v>23.754999999999999</v>
      </c>
      <c r="G124" s="1">
        <v>3.8</v>
      </c>
      <c r="H124" s="1">
        <v>205</v>
      </c>
      <c r="I124" s="1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3">
        <v>40681</v>
      </c>
      <c r="P124" s="1">
        <v>82.661355599999993</v>
      </c>
    </row>
    <row r="125" spans="1:16" x14ac:dyDescent="0.3">
      <c r="A125" s="1" t="s">
        <v>157</v>
      </c>
      <c r="B125" s="1" t="s">
        <v>163</v>
      </c>
      <c r="C125" s="1">
        <v>39.572000000000003</v>
      </c>
      <c r="D125" s="5"/>
      <c r="E125" s="1" t="s">
        <v>41</v>
      </c>
      <c r="F125" s="1">
        <v>25.635000000000002</v>
      </c>
      <c r="G125" s="1">
        <v>3.4</v>
      </c>
      <c r="H125" s="1">
        <v>185</v>
      </c>
      <c r="I125" s="1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3">
        <v>41112</v>
      </c>
      <c r="P125" s="1">
        <v>76.208439519999999</v>
      </c>
    </row>
    <row r="126" spans="1:16" x14ac:dyDescent="0.3">
      <c r="A126" s="1" t="s">
        <v>164</v>
      </c>
      <c r="B126" s="1" t="s">
        <v>165</v>
      </c>
      <c r="C126" s="1">
        <v>8.9819999999999993</v>
      </c>
      <c r="D126" s="1">
        <v>41.25</v>
      </c>
      <c r="E126" s="1" t="s">
        <v>18</v>
      </c>
      <c r="F126" s="1">
        <v>41.43</v>
      </c>
      <c r="G126" s="1">
        <v>2.7</v>
      </c>
      <c r="H126" s="1">
        <v>217</v>
      </c>
      <c r="I126" s="1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3">
        <v>40958</v>
      </c>
      <c r="P126" s="1">
        <v>93.437330700000004</v>
      </c>
    </row>
    <row r="127" spans="1:16" x14ac:dyDescent="0.3">
      <c r="A127" s="1" t="s">
        <v>164</v>
      </c>
      <c r="B127" s="1" t="s">
        <v>166</v>
      </c>
      <c r="C127" s="1">
        <v>1.28</v>
      </c>
      <c r="D127" s="1">
        <v>60.625</v>
      </c>
      <c r="E127" s="1" t="s">
        <v>18</v>
      </c>
      <c r="F127" s="1">
        <v>71.02</v>
      </c>
      <c r="G127" s="1">
        <v>3.4</v>
      </c>
      <c r="H127" s="1">
        <v>300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3">
        <v>41264</v>
      </c>
      <c r="P127" s="1">
        <v>134.3909754</v>
      </c>
    </row>
    <row r="128" spans="1:16" x14ac:dyDescent="0.3">
      <c r="A128" s="1" t="s">
        <v>164</v>
      </c>
      <c r="B128" s="1" t="s">
        <v>167</v>
      </c>
      <c r="C128" s="1">
        <v>1.8660000000000001</v>
      </c>
      <c r="D128" s="1">
        <v>67.55</v>
      </c>
      <c r="E128" s="1" t="s">
        <v>18</v>
      </c>
      <c r="F128" s="1">
        <v>74.97</v>
      </c>
      <c r="G128" s="1">
        <v>3.4</v>
      </c>
      <c r="H128" s="1">
        <v>300</v>
      </c>
      <c r="I128" s="1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3">
        <v>40735</v>
      </c>
      <c r="P128" s="1">
        <v>135.91470960000001</v>
      </c>
    </row>
    <row r="129" spans="1:16" x14ac:dyDescent="0.3">
      <c r="A129" s="1" t="s">
        <v>168</v>
      </c>
      <c r="B129" s="4">
        <v>46270</v>
      </c>
      <c r="C129" s="1">
        <v>9.1910000000000007</v>
      </c>
      <c r="D129" s="5"/>
      <c r="E129" s="1" t="s">
        <v>18</v>
      </c>
      <c r="F129" s="1">
        <v>33.119999999999997</v>
      </c>
      <c r="G129" s="1">
        <v>2.2999999999999998</v>
      </c>
      <c r="H129" s="1">
        <v>170</v>
      </c>
      <c r="I129" s="1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3">
        <v>41222</v>
      </c>
      <c r="P129" s="1">
        <v>73.503778190000006</v>
      </c>
    </row>
    <row r="130" spans="1:16" x14ac:dyDescent="0.3">
      <c r="A130" s="1" t="s">
        <v>168</v>
      </c>
      <c r="B130" s="4">
        <v>46268</v>
      </c>
      <c r="C130" s="1">
        <v>12.115</v>
      </c>
      <c r="D130" s="5"/>
      <c r="E130" s="1" t="s">
        <v>18</v>
      </c>
      <c r="F130" s="1">
        <v>26.1</v>
      </c>
      <c r="G130" s="1">
        <v>2</v>
      </c>
      <c r="H130" s="1">
        <v>185</v>
      </c>
      <c r="I130" s="1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3">
        <v>40706</v>
      </c>
      <c r="P130" s="1">
        <v>76.02304771</v>
      </c>
    </row>
    <row r="131" spans="1:16" x14ac:dyDescent="0.3">
      <c r="A131" s="1" t="s">
        <v>169</v>
      </c>
      <c r="B131" s="1" t="s">
        <v>170</v>
      </c>
      <c r="C131" s="1">
        <v>80.62</v>
      </c>
      <c r="D131" s="1">
        <v>9.1999999999999993</v>
      </c>
      <c r="E131" s="1" t="s">
        <v>18</v>
      </c>
      <c r="F131" s="1">
        <v>10.685</v>
      </c>
      <c r="G131" s="1">
        <v>1.9</v>
      </c>
      <c r="H131" s="1">
        <v>100</v>
      </c>
      <c r="I131" s="1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3">
        <v>41137</v>
      </c>
      <c r="P131" s="1">
        <v>39.986424749999998</v>
      </c>
    </row>
    <row r="132" spans="1:16" x14ac:dyDescent="0.3">
      <c r="A132" s="1" t="s">
        <v>169</v>
      </c>
      <c r="B132" s="1" t="s">
        <v>171</v>
      </c>
      <c r="C132" s="1">
        <v>24.545999999999999</v>
      </c>
      <c r="D132" s="1">
        <v>10.59</v>
      </c>
      <c r="E132" s="1" t="s">
        <v>18</v>
      </c>
      <c r="F132" s="1">
        <v>12.535</v>
      </c>
      <c r="G132" s="1">
        <v>1.9</v>
      </c>
      <c r="H132" s="1">
        <v>100</v>
      </c>
      <c r="I132" s="1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3">
        <v>40618</v>
      </c>
      <c r="P132" s="1">
        <v>40.700072419999998</v>
      </c>
    </row>
    <row r="133" spans="1:16" x14ac:dyDescent="0.3">
      <c r="A133" s="1" t="s">
        <v>169</v>
      </c>
      <c r="B133" s="1" t="s">
        <v>172</v>
      </c>
      <c r="C133" s="1">
        <v>5.2229999999999999</v>
      </c>
      <c r="D133" s="1">
        <v>10.79</v>
      </c>
      <c r="E133" s="1" t="s">
        <v>18</v>
      </c>
      <c r="F133" s="1">
        <v>14.29</v>
      </c>
      <c r="G133" s="1">
        <v>1.9</v>
      </c>
      <c r="H133" s="1">
        <v>124</v>
      </c>
      <c r="I133" s="1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3">
        <v>40558</v>
      </c>
      <c r="P133" s="1">
        <v>49.865773670000003</v>
      </c>
    </row>
    <row r="134" spans="1:16" x14ac:dyDescent="0.3">
      <c r="A134" s="1" t="s">
        <v>169</v>
      </c>
      <c r="B134" s="1" t="s">
        <v>173</v>
      </c>
      <c r="C134" s="1">
        <v>8.4719999999999995</v>
      </c>
      <c r="D134" s="5"/>
      <c r="E134" s="1" t="s">
        <v>18</v>
      </c>
      <c r="F134" s="1">
        <v>18.835000000000001</v>
      </c>
      <c r="G134" s="1">
        <v>2.2000000000000002</v>
      </c>
      <c r="H134" s="1">
        <v>137</v>
      </c>
      <c r="I134" s="1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3">
        <v>40760</v>
      </c>
      <c r="P134" s="1">
        <v>56.295243040000003</v>
      </c>
    </row>
    <row r="135" spans="1:16" x14ac:dyDescent="0.3">
      <c r="A135" s="1" t="s">
        <v>169</v>
      </c>
      <c r="B135" s="1" t="s">
        <v>174</v>
      </c>
      <c r="C135" s="1">
        <v>49.988999999999997</v>
      </c>
      <c r="D135" s="5"/>
      <c r="E135" s="1" t="s">
        <v>18</v>
      </c>
      <c r="F135" s="1">
        <v>15.01</v>
      </c>
      <c r="G135" s="1">
        <v>2.2000000000000002</v>
      </c>
      <c r="H135" s="1">
        <v>137</v>
      </c>
      <c r="I135" s="1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3">
        <v>41247</v>
      </c>
      <c r="P135" s="1">
        <v>54.819728249999997</v>
      </c>
    </row>
    <row r="136" spans="1:16" x14ac:dyDescent="0.3">
      <c r="A136" s="1" t="s">
        <v>175</v>
      </c>
      <c r="B136" s="1" t="s">
        <v>176</v>
      </c>
      <c r="C136" s="1">
        <v>47.106999999999999</v>
      </c>
      <c r="D136" s="5"/>
      <c r="E136" s="1" t="s">
        <v>18</v>
      </c>
      <c r="F136" s="1">
        <v>22.695</v>
      </c>
      <c r="G136" s="1">
        <v>2.5</v>
      </c>
      <c r="H136" s="1">
        <v>165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3">
        <v>40731</v>
      </c>
      <c r="P136" s="1">
        <v>67.765907600000006</v>
      </c>
    </row>
    <row r="137" spans="1:16" x14ac:dyDescent="0.3">
      <c r="A137" s="1" t="s">
        <v>175</v>
      </c>
      <c r="B137" s="1" t="s">
        <v>177</v>
      </c>
      <c r="C137" s="1">
        <v>33.027999999999999</v>
      </c>
      <c r="D137" s="5"/>
      <c r="E137" s="1" t="s">
        <v>41</v>
      </c>
      <c r="F137" s="1">
        <v>20.094999999999999</v>
      </c>
      <c r="G137" s="1">
        <v>2.5</v>
      </c>
      <c r="H137" s="1">
        <v>165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3">
        <v>41162</v>
      </c>
      <c r="P137" s="1">
        <v>66.762943309999997</v>
      </c>
    </row>
    <row r="138" spans="1:16" x14ac:dyDescent="0.3">
      <c r="A138" s="1" t="s">
        <v>178</v>
      </c>
      <c r="B138" s="1" t="s">
        <v>179</v>
      </c>
      <c r="C138" s="1">
        <v>142.535</v>
      </c>
      <c r="D138" s="1">
        <v>10.025</v>
      </c>
      <c r="E138" s="1" t="s">
        <v>18</v>
      </c>
      <c r="F138" s="1">
        <v>13.108000000000001</v>
      </c>
      <c r="G138" s="1">
        <v>1.8</v>
      </c>
      <c r="H138" s="1">
        <v>120</v>
      </c>
      <c r="I138" s="1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3">
        <v>40644</v>
      </c>
      <c r="P138" s="1">
        <v>47.96897242</v>
      </c>
    </row>
    <row r="139" spans="1:16" x14ac:dyDescent="0.3">
      <c r="A139" s="1" t="s">
        <v>178</v>
      </c>
      <c r="B139" s="1" t="s">
        <v>180</v>
      </c>
      <c r="C139" s="1">
        <v>247.994</v>
      </c>
      <c r="D139" s="1">
        <v>13.244999999999999</v>
      </c>
      <c r="E139" s="1" t="s">
        <v>18</v>
      </c>
      <c r="F139" s="1">
        <v>17.518000000000001</v>
      </c>
      <c r="G139" s="1">
        <v>2.2000000000000002</v>
      </c>
      <c r="H139" s="1">
        <v>133</v>
      </c>
      <c r="I139" s="1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3">
        <v>40584</v>
      </c>
      <c r="P139" s="1">
        <v>54.372419649999998</v>
      </c>
    </row>
    <row r="140" spans="1:16" x14ac:dyDescent="0.3">
      <c r="A140" s="1" t="s">
        <v>178</v>
      </c>
      <c r="B140" s="1" t="s">
        <v>181</v>
      </c>
      <c r="C140" s="1">
        <v>63.848999999999997</v>
      </c>
      <c r="D140" s="1">
        <v>18.14</v>
      </c>
      <c r="E140" s="1" t="s">
        <v>18</v>
      </c>
      <c r="F140" s="1">
        <v>25.545000000000002</v>
      </c>
      <c r="G140" s="1">
        <v>3</v>
      </c>
      <c r="H140" s="1">
        <v>210</v>
      </c>
      <c r="I140" s="1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3">
        <v>40786</v>
      </c>
      <c r="P140" s="1">
        <v>84.911898260000001</v>
      </c>
    </row>
    <row r="141" spans="1:16" x14ac:dyDescent="0.3">
      <c r="A141" s="1" t="s">
        <v>178</v>
      </c>
      <c r="B141" s="1" t="s">
        <v>182</v>
      </c>
      <c r="C141" s="1">
        <v>33.268999999999998</v>
      </c>
      <c r="D141" s="1">
        <v>15.445</v>
      </c>
      <c r="E141" s="1" t="s">
        <v>18</v>
      </c>
      <c r="F141" s="1">
        <v>16.875</v>
      </c>
      <c r="G141" s="1">
        <v>1.8</v>
      </c>
      <c r="H141" s="1">
        <v>140</v>
      </c>
      <c r="I141" s="1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3">
        <v>41272</v>
      </c>
      <c r="P141" s="1">
        <v>56.496030339999997</v>
      </c>
    </row>
    <row r="142" spans="1:16" x14ac:dyDescent="0.3">
      <c r="A142" s="1" t="s">
        <v>178</v>
      </c>
      <c r="B142" s="1" t="s">
        <v>183</v>
      </c>
      <c r="C142" s="1">
        <v>84.087000000000003</v>
      </c>
      <c r="D142" s="1">
        <v>9.5749999999999993</v>
      </c>
      <c r="E142" s="1" t="s">
        <v>41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3">
        <v>40756</v>
      </c>
      <c r="P142" s="1">
        <v>55.297116580000001</v>
      </c>
    </row>
    <row r="143" spans="1:16" x14ac:dyDescent="0.3">
      <c r="A143" s="1" t="s">
        <v>178</v>
      </c>
      <c r="B143" s="1" t="s">
        <v>184</v>
      </c>
      <c r="C143" s="1">
        <v>65.119</v>
      </c>
      <c r="D143" s="5"/>
      <c r="E143" s="1" t="s">
        <v>41</v>
      </c>
      <c r="F143" s="1">
        <v>22.367999999999999</v>
      </c>
      <c r="G143" s="1">
        <v>3</v>
      </c>
      <c r="H143" s="1">
        <v>194</v>
      </c>
      <c r="I143" s="1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3">
        <v>41187</v>
      </c>
      <c r="P143" s="1">
        <v>78.027219470000006</v>
      </c>
    </row>
    <row r="144" spans="1:16" x14ac:dyDescent="0.3">
      <c r="A144" s="1" t="s">
        <v>178</v>
      </c>
      <c r="B144" s="1" t="s">
        <v>185</v>
      </c>
      <c r="C144" s="1">
        <v>25.106000000000002</v>
      </c>
      <c r="D144" s="1">
        <v>13.324999999999999</v>
      </c>
      <c r="E144" s="1" t="s">
        <v>41</v>
      </c>
      <c r="F144" s="1">
        <v>16.888000000000002</v>
      </c>
      <c r="G144" s="1">
        <v>2</v>
      </c>
      <c r="H144" s="1">
        <v>127</v>
      </c>
      <c r="I144" s="1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3">
        <v>40669</v>
      </c>
      <c r="P144" s="1">
        <v>51.955108869999997</v>
      </c>
    </row>
    <row r="145" spans="1:16" x14ac:dyDescent="0.3">
      <c r="A145" s="1" t="s">
        <v>178</v>
      </c>
      <c r="B145" s="1" t="s">
        <v>186</v>
      </c>
      <c r="C145" s="1">
        <v>68.411000000000001</v>
      </c>
      <c r="D145" s="1">
        <v>19.425000000000001</v>
      </c>
      <c r="E145" s="1" t="s">
        <v>41</v>
      </c>
      <c r="F145" s="1">
        <v>22.288</v>
      </c>
      <c r="G145" s="1">
        <v>2.7</v>
      </c>
      <c r="H145" s="1">
        <v>150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3">
        <v>40609</v>
      </c>
      <c r="P145" s="1">
        <v>62.35557713</v>
      </c>
    </row>
    <row r="146" spans="1:16" x14ac:dyDescent="0.3">
      <c r="A146" s="1" t="s">
        <v>178</v>
      </c>
      <c r="B146" s="1" t="s">
        <v>187</v>
      </c>
      <c r="C146" s="1">
        <v>9.8350000000000009</v>
      </c>
      <c r="D146" s="1">
        <v>34.08</v>
      </c>
      <c r="E146" s="1" t="s">
        <v>41</v>
      </c>
      <c r="F146" s="1">
        <v>51.728000000000002</v>
      </c>
      <c r="G146" s="1">
        <v>4.7</v>
      </c>
      <c r="H146" s="1">
        <v>230</v>
      </c>
      <c r="I146" s="1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3">
        <v>40811</v>
      </c>
      <c r="P146" s="1">
        <v>102.5289842</v>
      </c>
    </row>
    <row r="147" spans="1:16" x14ac:dyDescent="0.3">
      <c r="A147" s="1" t="s">
        <v>188</v>
      </c>
      <c r="B147" s="1" t="s">
        <v>189</v>
      </c>
      <c r="C147" s="1">
        <v>9.7609999999999992</v>
      </c>
      <c r="D147" s="1">
        <v>11.425000000000001</v>
      </c>
      <c r="E147" s="1" t="s">
        <v>18</v>
      </c>
      <c r="F147" s="1">
        <v>14.9</v>
      </c>
      <c r="G147" s="1">
        <v>2</v>
      </c>
      <c r="H147" s="1">
        <v>115</v>
      </c>
      <c r="I147" s="1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3">
        <v>40567</v>
      </c>
      <c r="P147" s="1">
        <v>46.943876760000002</v>
      </c>
    </row>
    <row r="148" spans="1:16" x14ac:dyDescent="0.3">
      <c r="A148" s="1" t="s">
        <v>188</v>
      </c>
      <c r="B148" s="1" t="s">
        <v>190</v>
      </c>
      <c r="C148" s="1">
        <v>83.721000000000004</v>
      </c>
      <c r="D148" s="1">
        <v>13.24</v>
      </c>
      <c r="E148" s="1" t="s">
        <v>18</v>
      </c>
      <c r="F148" s="1">
        <v>16.7</v>
      </c>
      <c r="G148" s="1">
        <v>2</v>
      </c>
      <c r="H148" s="1">
        <v>115</v>
      </c>
      <c r="I148" s="1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3">
        <v>40782</v>
      </c>
      <c r="P148" s="1">
        <v>47.638236659999997</v>
      </c>
    </row>
    <row r="149" spans="1:16" x14ac:dyDescent="0.3">
      <c r="A149" s="1" t="s">
        <v>188</v>
      </c>
      <c r="B149" s="1" t="s">
        <v>191</v>
      </c>
      <c r="C149" s="1">
        <v>51.101999999999997</v>
      </c>
      <c r="D149" s="1">
        <v>16.725000000000001</v>
      </c>
      <c r="E149" s="1" t="s">
        <v>18</v>
      </c>
      <c r="F149" s="1">
        <v>21.2</v>
      </c>
      <c r="G149" s="1">
        <v>1.8</v>
      </c>
      <c r="H149" s="1">
        <v>150</v>
      </c>
      <c r="I149" s="1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3">
        <v>41212</v>
      </c>
      <c r="P149" s="1">
        <v>61.701381359999999</v>
      </c>
    </row>
    <row r="150" spans="1:16" x14ac:dyDescent="0.3">
      <c r="A150" s="1" t="s">
        <v>188</v>
      </c>
      <c r="B150" s="1" t="s">
        <v>192</v>
      </c>
      <c r="C150" s="1">
        <v>9.5690000000000008</v>
      </c>
      <c r="D150" s="1">
        <v>16.574999999999999</v>
      </c>
      <c r="E150" s="1" t="s">
        <v>18</v>
      </c>
      <c r="F150" s="1">
        <v>19.989999999999998</v>
      </c>
      <c r="G150" s="1">
        <v>2</v>
      </c>
      <c r="H150" s="1">
        <v>115</v>
      </c>
      <c r="I150" s="1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3">
        <v>40694</v>
      </c>
      <c r="P150" s="1">
        <v>48.907372250000002</v>
      </c>
    </row>
    <row r="151" spans="1:16" x14ac:dyDescent="0.3">
      <c r="A151" s="1" t="s">
        <v>188</v>
      </c>
      <c r="B151" s="1" t="s">
        <v>193</v>
      </c>
      <c r="C151" s="1">
        <v>5.5960000000000001</v>
      </c>
      <c r="D151" s="1">
        <v>13.76</v>
      </c>
      <c r="E151" s="1" t="s">
        <v>18</v>
      </c>
      <c r="F151" s="1">
        <v>17.5</v>
      </c>
      <c r="G151" s="1">
        <v>2</v>
      </c>
      <c r="H151" s="1">
        <v>115</v>
      </c>
      <c r="I151" s="1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3">
        <v>40634</v>
      </c>
      <c r="P151" s="1">
        <v>47.946841059999997</v>
      </c>
    </row>
    <row r="152" spans="1:16" x14ac:dyDescent="0.3">
      <c r="A152" s="1" t="s">
        <v>188</v>
      </c>
      <c r="B152" s="1" t="s">
        <v>194</v>
      </c>
      <c r="C152" s="1">
        <v>49.463000000000001</v>
      </c>
      <c r="D152" s="5"/>
      <c r="E152" s="1" t="s">
        <v>18</v>
      </c>
      <c r="F152" s="1">
        <v>15.9</v>
      </c>
      <c r="G152" s="1">
        <v>2</v>
      </c>
      <c r="H152" s="1">
        <v>115</v>
      </c>
      <c r="I152" s="1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3">
        <v>40836</v>
      </c>
      <c r="P152" s="1">
        <v>47.329632259999997</v>
      </c>
    </row>
    <row r="153" spans="1:16" x14ac:dyDescent="0.3">
      <c r="A153" s="1" t="s">
        <v>195</v>
      </c>
      <c r="B153" s="1" t="s">
        <v>196</v>
      </c>
      <c r="C153" s="1">
        <v>16.957000000000001</v>
      </c>
      <c r="D153" s="5"/>
      <c r="E153" s="1" t="s">
        <v>18</v>
      </c>
      <c r="F153" s="1">
        <v>23.4</v>
      </c>
      <c r="G153" s="1">
        <v>1.9</v>
      </c>
      <c r="H153" s="1">
        <v>160</v>
      </c>
      <c r="I153" s="1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3">
        <v>40592</v>
      </c>
      <c r="P153" s="1">
        <v>66.113056799999995</v>
      </c>
    </row>
    <row r="154" spans="1:16" x14ac:dyDescent="0.3">
      <c r="A154" s="1" t="s">
        <v>195</v>
      </c>
      <c r="B154" s="1" t="s">
        <v>197</v>
      </c>
      <c r="C154" s="1">
        <v>3.5449999999999999</v>
      </c>
      <c r="D154" s="5"/>
      <c r="E154" s="1" t="s">
        <v>18</v>
      </c>
      <c r="F154" s="1">
        <v>24.4</v>
      </c>
      <c r="G154" s="1">
        <v>1.9</v>
      </c>
      <c r="H154" s="1">
        <v>160</v>
      </c>
      <c r="I154" s="1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3">
        <v>40807</v>
      </c>
      <c r="P154" s="1">
        <v>66.498812299999997</v>
      </c>
    </row>
    <row r="155" spans="1:16" x14ac:dyDescent="0.3">
      <c r="A155" s="1" t="s">
        <v>195</v>
      </c>
      <c r="B155" s="1" t="s">
        <v>198</v>
      </c>
      <c r="C155" s="1">
        <v>15.244999999999999</v>
      </c>
      <c r="D155" s="5"/>
      <c r="E155" s="1" t="s">
        <v>18</v>
      </c>
      <c r="F155" s="1">
        <v>27.5</v>
      </c>
      <c r="G155" s="1">
        <v>2.4</v>
      </c>
      <c r="H155" s="1">
        <v>168</v>
      </c>
      <c r="I155" s="1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3">
        <v>41237</v>
      </c>
      <c r="P155" s="1">
        <v>70.654495449999999</v>
      </c>
    </row>
    <row r="156" spans="1:16" x14ac:dyDescent="0.3">
      <c r="A156" s="1" t="s">
        <v>195</v>
      </c>
      <c r="B156" s="1" t="s">
        <v>199</v>
      </c>
      <c r="C156" s="1">
        <v>17.530999999999999</v>
      </c>
      <c r="D156" s="5"/>
      <c r="E156" s="1" t="s">
        <v>18</v>
      </c>
      <c r="F156" s="1">
        <v>28.8</v>
      </c>
      <c r="G156" s="1">
        <v>2.4</v>
      </c>
      <c r="H156" s="1">
        <v>168</v>
      </c>
      <c r="I156" s="1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3">
        <v>40719</v>
      </c>
      <c r="P156" s="1">
        <v>71.1559776</v>
      </c>
    </row>
    <row r="157" spans="1:16" x14ac:dyDescent="0.3">
      <c r="A157" s="1" t="s">
        <v>195</v>
      </c>
      <c r="B157" s="1" t="s">
        <v>200</v>
      </c>
      <c r="C157" s="1">
        <v>3.4929999999999999</v>
      </c>
      <c r="D157" s="5"/>
      <c r="E157" s="1" t="s">
        <v>18</v>
      </c>
      <c r="F157" s="1">
        <v>45.5</v>
      </c>
      <c r="G157" s="1">
        <v>2.2999999999999998</v>
      </c>
      <c r="H157" s="1">
        <v>236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3">
        <v>40659</v>
      </c>
      <c r="P157" s="1">
        <v>101.6233572</v>
      </c>
    </row>
    <row r="158" spans="1:16" x14ac:dyDescent="0.3">
      <c r="A158" s="1" t="s">
        <v>195</v>
      </c>
      <c r="B158" s="1" t="s">
        <v>201</v>
      </c>
      <c r="C158" s="1">
        <v>18.969000000000001</v>
      </c>
      <c r="D158" s="5"/>
      <c r="E158" s="1" t="s">
        <v>18</v>
      </c>
      <c r="F158" s="1">
        <v>36</v>
      </c>
      <c r="G158" s="1">
        <v>2.9</v>
      </c>
      <c r="H158" s="1">
        <v>201</v>
      </c>
      <c r="I158" s="1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3">
        <v>40861</v>
      </c>
      <c r="P158" s="1">
        <v>85.735654510000003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88EB-A66B-43DA-A153-7FA1718C2CDB}">
  <dimension ref="A1:U158"/>
  <sheetViews>
    <sheetView zoomScale="85" zoomScaleNormal="85" workbookViewId="0">
      <selection activeCell="F2" sqref="F2:F158"/>
    </sheetView>
  </sheetViews>
  <sheetFormatPr defaultColWidth="18.77734375" defaultRowHeight="14.4" x14ac:dyDescent="0.3"/>
  <cols>
    <col min="1" max="2" width="18.77734375" style="1"/>
    <col min="3" max="3" width="19.44140625" style="1" customWidth="1"/>
    <col min="4" max="4" width="20" style="1" customWidth="1"/>
    <col min="5" max="5" width="18.77734375" style="1"/>
    <col min="6" max="6" width="19.33203125" style="1" customWidth="1"/>
    <col min="7" max="16384" width="18.77734375" style="1"/>
  </cols>
  <sheetData>
    <row r="1" spans="1:2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21" x14ac:dyDescent="0.3">
      <c r="A2" s="1" t="s">
        <v>16</v>
      </c>
      <c r="B2" s="1" t="s">
        <v>17</v>
      </c>
      <c r="C2" s="7">
        <v>16.919</v>
      </c>
      <c r="D2" s="7">
        <v>16.36</v>
      </c>
      <c r="E2" s="1" t="s">
        <v>18</v>
      </c>
      <c r="F2" s="1">
        <v>21.5</v>
      </c>
      <c r="G2" s="1">
        <v>1.8</v>
      </c>
      <c r="H2" s="1">
        <v>140</v>
      </c>
      <c r="I2" s="1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3">
        <v>40941</v>
      </c>
      <c r="P2" s="7">
        <v>58.280149520000002</v>
      </c>
    </row>
    <row r="3" spans="1:21" x14ac:dyDescent="0.3">
      <c r="A3" s="1" t="s">
        <v>16</v>
      </c>
      <c r="B3" s="1" t="s">
        <v>19</v>
      </c>
      <c r="C3" s="7">
        <v>39.384</v>
      </c>
      <c r="D3" s="7">
        <v>19.875</v>
      </c>
      <c r="E3" s="1" t="s">
        <v>18</v>
      </c>
      <c r="F3" s="1">
        <v>28.4</v>
      </c>
      <c r="G3" s="1">
        <v>3.2</v>
      </c>
      <c r="H3" s="1">
        <v>225</v>
      </c>
      <c r="I3" s="1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3">
        <v>40697</v>
      </c>
      <c r="P3" s="7">
        <v>91.370777660000002</v>
      </c>
    </row>
    <row r="4" spans="1:21" x14ac:dyDescent="0.3">
      <c r="A4" s="1" t="s">
        <v>16</v>
      </c>
      <c r="B4" s="1" t="s">
        <v>20</v>
      </c>
      <c r="C4" s="7">
        <v>14.114000000000001</v>
      </c>
      <c r="D4" s="7">
        <v>18.225000000000001</v>
      </c>
      <c r="E4" s="1" t="s">
        <v>18</v>
      </c>
      <c r="F4" s="7">
        <f>22.8</f>
        <v>22.8</v>
      </c>
      <c r="G4" s="1">
        <v>3.2</v>
      </c>
      <c r="H4" s="1">
        <v>225</v>
      </c>
      <c r="I4" s="1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3">
        <v>40912</v>
      </c>
      <c r="P4" s="7">
        <f>72.03</f>
        <v>72.03</v>
      </c>
    </row>
    <row r="5" spans="1:21" x14ac:dyDescent="0.3">
      <c r="A5" s="1" t="s">
        <v>16</v>
      </c>
      <c r="B5" s="1" t="s">
        <v>21</v>
      </c>
      <c r="C5" s="7">
        <v>8.5879999999999992</v>
      </c>
      <c r="D5" s="7">
        <v>29.725000000000001</v>
      </c>
      <c r="E5" s="1" t="s">
        <v>18</v>
      </c>
      <c r="F5" s="1">
        <v>42</v>
      </c>
      <c r="G5" s="1">
        <v>3.5</v>
      </c>
      <c r="H5" s="1">
        <v>210</v>
      </c>
      <c r="I5" s="1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3">
        <v>40612</v>
      </c>
      <c r="P5" s="7">
        <v>91.389779329999996</v>
      </c>
      <c r="R5" s="8" t="s">
        <v>203</v>
      </c>
      <c r="S5" s="8">
        <f>COUNTBLANK(A1:P158)</f>
        <v>0</v>
      </c>
    </row>
    <row r="6" spans="1:21" x14ac:dyDescent="0.3">
      <c r="A6" s="1" t="s">
        <v>22</v>
      </c>
      <c r="B6" s="1" t="s">
        <v>23</v>
      </c>
      <c r="C6" s="7">
        <v>20.396999999999998</v>
      </c>
      <c r="D6" s="7">
        <v>22.254999999999999</v>
      </c>
      <c r="E6" s="1" t="s">
        <v>18</v>
      </c>
      <c r="F6" s="1">
        <v>23.99</v>
      </c>
      <c r="G6" s="1">
        <v>1.8</v>
      </c>
      <c r="H6" s="1">
        <v>150</v>
      </c>
      <c r="I6" s="1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3">
        <v>40824</v>
      </c>
      <c r="P6" s="7">
        <v>62.777639200000003</v>
      </c>
    </row>
    <row r="7" spans="1:21" x14ac:dyDescent="0.3">
      <c r="A7" s="1" t="s">
        <v>22</v>
      </c>
      <c r="B7" s="1" t="s">
        <v>24</v>
      </c>
      <c r="C7" s="7">
        <v>18.78</v>
      </c>
      <c r="D7" s="7">
        <v>23.555</v>
      </c>
      <c r="E7" s="1" t="s">
        <v>18</v>
      </c>
      <c r="F7" s="1">
        <v>33.950000000000003</v>
      </c>
      <c r="G7" s="1">
        <v>2.8</v>
      </c>
      <c r="H7" s="1">
        <v>200</v>
      </c>
      <c r="I7" s="1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3">
        <v>40764</v>
      </c>
      <c r="P7" s="7">
        <v>84.565105020000004</v>
      </c>
      <c r="R7" s="6" t="s">
        <v>204</v>
      </c>
      <c r="S7" s="6" t="s">
        <v>205</v>
      </c>
      <c r="T7" s="8" t="s">
        <v>207</v>
      </c>
      <c r="U7" s="8" t="s">
        <v>206</v>
      </c>
    </row>
    <row r="8" spans="1:21" x14ac:dyDescent="0.3">
      <c r="A8" s="1" t="s">
        <v>22</v>
      </c>
      <c r="B8" s="1" t="s">
        <v>25</v>
      </c>
      <c r="C8" s="7">
        <v>1.38</v>
      </c>
      <c r="D8" s="7">
        <v>39</v>
      </c>
      <c r="E8" s="1" t="s">
        <v>18</v>
      </c>
      <c r="F8" s="1">
        <v>62</v>
      </c>
      <c r="G8" s="1">
        <v>4.2</v>
      </c>
      <c r="H8" s="1">
        <v>310</v>
      </c>
      <c r="I8" s="1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3">
        <v>40966</v>
      </c>
      <c r="P8" s="7">
        <v>134.65685819999999</v>
      </c>
      <c r="R8" s="10" t="s">
        <v>202</v>
      </c>
      <c r="S8" s="6">
        <f>COUNTBLANK(D1:D158)</f>
        <v>0</v>
      </c>
      <c r="T8" s="11">
        <f>AVERAGE(D2:D158)</f>
        <v>18.6691719745223</v>
      </c>
      <c r="U8" s="8">
        <f>MEDIAN(D2:D158)</f>
        <v>14.875</v>
      </c>
    </row>
    <row r="9" spans="1:21" x14ac:dyDescent="0.3">
      <c r="A9" s="1" t="s">
        <v>26</v>
      </c>
      <c r="B9" s="1" t="s">
        <v>27</v>
      </c>
      <c r="C9" s="7">
        <v>19.747</v>
      </c>
      <c r="D9" s="7">
        <f>Car_sales_Cleaned!D2</f>
        <v>16.36</v>
      </c>
      <c r="E9" s="1" t="s">
        <v>18</v>
      </c>
      <c r="F9" s="1">
        <v>26.99</v>
      </c>
      <c r="G9" s="1">
        <v>2.5</v>
      </c>
      <c r="H9" s="1">
        <v>170</v>
      </c>
      <c r="I9" s="1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3">
        <v>40722</v>
      </c>
      <c r="P9" s="7">
        <v>71.191206710000003</v>
      </c>
      <c r="R9" s="10" t="s">
        <v>5</v>
      </c>
      <c r="S9" s="6">
        <f>COUNTBLANK(F1:F158)</f>
        <v>0</v>
      </c>
      <c r="T9" s="11">
        <f>AVERAGE(F1:F158)</f>
        <v>27.332273885350293</v>
      </c>
      <c r="U9" s="11">
        <f>MEDIAN(F2:F158)</f>
        <v>22.8</v>
      </c>
    </row>
    <row r="10" spans="1:21" x14ac:dyDescent="0.3">
      <c r="A10" s="1" t="s">
        <v>26</v>
      </c>
      <c r="B10" s="1" t="s">
        <v>28</v>
      </c>
      <c r="C10" s="7">
        <v>9.2309999999999999</v>
      </c>
      <c r="D10" s="7">
        <v>28.675000000000001</v>
      </c>
      <c r="E10" s="1" t="s">
        <v>18</v>
      </c>
      <c r="F10" s="1">
        <v>33.4</v>
      </c>
      <c r="G10" s="1">
        <v>2.8</v>
      </c>
      <c r="H10" s="1">
        <v>193</v>
      </c>
      <c r="I10" s="1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3">
        <v>40937</v>
      </c>
      <c r="P10" s="7">
        <v>81.877068559999998</v>
      </c>
      <c r="R10" s="10" t="s">
        <v>6</v>
      </c>
      <c r="S10" s="6">
        <f>COUNTBLANK(G1:G158)</f>
        <v>0</v>
      </c>
      <c r="T10" s="11">
        <f>AVERAGE(G1:G158)</f>
        <v>3.060509554140125</v>
      </c>
      <c r="U10" s="8">
        <f>MEDIAN(G2:G158)</f>
        <v>3</v>
      </c>
    </row>
    <row r="11" spans="1:21" x14ac:dyDescent="0.3">
      <c r="A11" s="1" t="s">
        <v>26</v>
      </c>
      <c r="B11" s="1" t="s">
        <v>29</v>
      </c>
      <c r="C11" s="7">
        <v>17.527000000000001</v>
      </c>
      <c r="D11" s="7">
        <v>36.125</v>
      </c>
      <c r="E11" s="1" t="s">
        <v>18</v>
      </c>
      <c r="F11" s="1">
        <v>38.9</v>
      </c>
      <c r="G11" s="1">
        <v>2.8</v>
      </c>
      <c r="H11" s="1">
        <v>193</v>
      </c>
      <c r="I11" s="1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3">
        <v>40637</v>
      </c>
      <c r="P11" s="7">
        <v>83.998723799999993</v>
      </c>
      <c r="R11" s="10" t="s">
        <v>7</v>
      </c>
      <c r="S11" s="6">
        <f>COUNTBLANK(H1:H158)</f>
        <v>0</v>
      </c>
      <c r="T11" s="11">
        <f>AVERAGE(H1:H158)</f>
        <v>185.89490445859872</v>
      </c>
      <c r="U11" s="8">
        <f>MEDIAN(H2:H158)</f>
        <v>177.5</v>
      </c>
    </row>
    <row r="12" spans="1:21" x14ac:dyDescent="0.3">
      <c r="A12" s="1" t="s">
        <v>30</v>
      </c>
      <c r="B12" s="1" t="s">
        <v>31</v>
      </c>
      <c r="C12" s="7">
        <v>91.561000000000007</v>
      </c>
      <c r="D12" s="7">
        <v>12.475</v>
      </c>
      <c r="E12" s="1" t="s">
        <v>18</v>
      </c>
      <c r="F12" s="1">
        <v>21.975000000000001</v>
      </c>
      <c r="G12" s="1">
        <v>3.1</v>
      </c>
      <c r="H12" s="1">
        <v>175</v>
      </c>
      <c r="I12" s="1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3">
        <v>40849</v>
      </c>
      <c r="P12" s="7">
        <v>71.181451319999994</v>
      </c>
      <c r="R12" s="10" t="s">
        <v>8</v>
      </c>
      <c r="S12" s="6">
        <f>COUNTBLANK(I1:I158)</f>
        <v>0</v>
      </c>
      <c r="T12" s="11">
        <f>AVERAGE(I1:I158)</f>
        <v>107.48407643312102</v>
      </c>
      <c r="U12" s="8">
        <f>MEDIAN(I2:I158)</f>
        <v>107</v>
      </c>
    </row>
    <row r="13" spans="1:21" x14ac:dyDescent="0.3">
      <c r="A13" s="1" t="s">
        <v>30</v>
      </c>
      <c r="B13" s="1" t="s">
        <v>32</v>
      </c>
      <c r="C13" s="7">
        <v>39.35</v>
      </c>
      <c r="D13" s="7">
        <v>13.74</v>
      </c>
      <c r="E13" s="1" t="s">
        <v>18</v>
      </c>
      <c r="F13" s="1">
        <v>25.3</v>
      </c>
      <c r="G13" s="1">
        <v>3.8</v>
      </c>
      <c r="H13" s="1">
        <v>240</v>
      </c>
      <c r="I13" s="1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3">
        <v>40789</v>
      </c>
      <c r="P13" s="7">
        <v>95.636702529999994</v>
      </c>
      <c r="R13" s="10" t="s">
        <v>9</v>
      </c>
      <c r="S13" s="6">
        <f>COUNTBLANK(J1:J158)</f>
        <v>0</v>
      </c>
      <c r="T13" s="8">
        <f>AVERAGE(J1:J158)</f>
        <v>71.146178343949018</v>
      </c>
      <c r="U13" s="8">
        <f>MEDIAN(J2:J158)</f>
        <v>70.55</v>
      </c>
    </row>
    <row r="14" spans="1:21" x14ac:dyDescent="0.3">
      <c r="A14" s="1" t="s">
        <v>30</v>
      </c>
      <c r="B14" s="1" t="s">
        <v>33</v>
      </c>
      <c r="C14" s="7">
        <v>27.850999999999999</v>
      </c>
      <c r="D14" s="7">
        <v>20.190000000000001</v>
      </c>
      <c r="E14" s="1" t="s">
        <v>18</v>
      </c>
      <c r="F14" s="1">
        <v>31.965</v>
      </c>
      <c r="G14" s="1">
        <v>3.8</v>
      </c>
      <c r="H14" s="1">
        <v>205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3">
        <v>40991</v>
      </c>
      <c r="P14" s="7">
        <v>85.828408249999995</v>
      </c>
      <c r="R14" s="10" t="s">
        <v>10</v>
      </c>
      <c r="S14" s="6">
        <f>COUNTBLANK(K1:K158)</f>
        <v>0</v>
      </c>
      <c r="T14" s="11">
        <f>AVERAGE(K1:K158)</f>
        <v>187.34713375796184</v>
      </c>
      <c r="U14" s="8">
        <f>MEDIAN(K2:K158)</f>
        <v>187.9</v>
      </c>
    </row>
    <row r="15" spans="1:21" x14ac:dyDescent="0.3">
      <c r="A15" s="1" t="s">
        <v>30</v>
      </c>
      <c r="B15" s="1" t="s">
        <v>34</v>
      </c>
      <c r="C15" s="7">
        <v>83.257000000000005</v>
      </c>
      <c r="D15" s="7">
        <v>13.36</v>
      </c>
      <c r="E15" s="1" t="s">
        <v>18</v>
      </c>
      <c r="F15" s="1">
        <v>27.885000000000002</v>
      </c>
      <c r="G15" s="1">
        <v>3.8</v>
      </c>
      <c r="H15" s="1">
        <v>205</v>
      </c>
      <c r="I15" s="1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3">
        <v>40747</v>
      </c>
      <c r="P15" s="7">
        <v>84.254525810000004</v>
      </c>
      <c r="R15" s="10" t="s">
        <v>11</v>
      </c>
      <c r="S15" s="6">
        <f>COUNTBLANK(L1:L158)</f>
        <v>0</v>
      </c>
      <c r="T15" s="11">
        <f>AVERAGE(L1:L158)</f>
        <v>3.3775668789808919</v>
      </c>
      <c r="U15" s="8">
        <f>MEDIAN(L2:L158)</f>
        <v>3.3420000000000001</v>
      </c>
    </row>
    <row r="16" spans="1:21" x14ac:dyDescent="0.3">
      <c r="A16" s="1" t="s">
        <v>35</v>
      </c>
      <c r="B16" s="1" t="s">
        <v>36</v>
      </c>
      <c r="C16" s="7">
        <v>63.728999999999999</v>
      </c>
      <c r="D16" s="7">
        <v>22.524999999999999</v>
      </c>
      <c r="E16" s="1" t="s">
        <v>18</v>
      </c>
      <c r="F16" s="1">
        <v>39.895000000000003</v>
      </c>
      <c r="G16" s="1">
        <v>4.5999999999999996</v>
      </c>
      <c r="H16" s="1">
        <v>275</v>
      </c>
      <c r="I16" s="1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3">
        <v>40962</v>
      </c>
      <c r="P16" s="7">
        <v>113.85459760000001</v>
      </c>
      <c r="R16" s="10" t="s">
        <v>12</v>
      </c>
      <c r="S16" s="6">
        <f>COUNTBLANK(M1:M158)</f>
        <v>0</v>
      </c>
      <c r="T16" s="11">
        <f>AVERAGE(M1:M158)</f>
        <v>17.947133757961787</v>
      </c>
      <c r="U16" s="8">
        <f>MEDIAN(M2:M158)</f>
        <v>17.2</v>
      </c>
    </row>
    <row r="17" spans="1:21" x14ac:dyDescent="0.3">
      <c r="A17" s="1" t="s">
        <v>35</v>
      </c>
      <c r="B17" s="1" t="s">
        <v>37</v>
      </c>
      <c r="C17" s="7">
        <v>15.943</v>
      </c>
      <c r="D17" s="7">
        <v>27.1</v>
      </c>
      <c r="E17" s="1" t="s">
        <v>18</v>
      </c>
      <c r="F17" s="1">
        <v>44.475000000000001</v>
      </c>
      <c r="G17" s="1">
        <v>4.5999999999999996</v>
      </c>
      <c r="H17" s="1">
        <v>275</v>
      </c>
      <c r="I17" s="1">
        <v>112.2</v>
      </c>
      <c r="J17" s="1">
        <v>75</v>
      </c>
      <c r="K17" s="1">
        <v>201</v>
      </c>
      <c r="L17" s="1">
        <f>3.342</f>
        <v>3.3420000000000001</v>
      </c>
      <c r="M17" s="1">
        <v>18.5</v>
      </c>
      <c r="N17" s="1">
        <v>22</v>
      </c>
      <c r="O17" s="3">
        <v>40662</v>
      </c>
      <c r="P17" s="7">
        <v>115.6213578</v>
      </c>
      <c r="R17" s="10" t="s">
        <v>13</v>
      </c>
      <c r="S17" s="6">
        <f>COUNTBLANK(N1:N158)</f>
        <v>0</v>
      </c>
      <c r="T17" s="11">
        <f>AVERAGE(N1:N158)</f>
        <v>23.847133757961782</v>
      </c>
      <c r="U17" s="8">
        <f>MEDIAN(N2:N158)</f>
        <v>24</v>
      </c>
    </row>
    <row r="18" spans="1:21" x14ac:dyDescent="0.3">
      <c r="A18" s="1" t="s">
        <v>35</v>
      </c>
      <c r="B18" s="1" t="s">
        <v>38</v>
      </c>
      <c r="C18" s="7">
        <v>6.5359999999999996</v>
      </c>
      <c r="D18" s="7">
        <v>25.725000000000001</v>
      </c>
      <c r="E18" s="1" t="s">
        <v>18</v>
      </c>
      <c r="F18" s="1">
        <v>39.664999999999999</v>
      </c>
      <c r="G18" s="1">
        <v>4.5999999999999996</v>
      </c>
      <c r="H18" s="1">
        <v>275</v>
      </c>
      <c r="I18" s="1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3">
        <v>40874</v>
      </c>
      <c r="P18" s="7">
        <v>113.7658739</v>
      </c>
      <c r="R18" s="10" t="s">
        <v>14</v>
      </c>
      <c r="S18" s="6">
        <f>COUNTBLANK(O2:O158)</f>
        <v>0</v>
      </c>
      <c r="T18" s="8">
        <v>0</v>
      </c>
      <c r="U18" s="8">
        <v>0</v>
      </c>
    </row>
    <row r="19" spans="1:21" x14ac:dyDescent="0.3">
      <c r="A19" s="1" t="s">
        <v>35</v>
      </c>
      <c r="B19" s="1" t="s">
        <v>39</v>
      </c>
      <c r="C19" s="7">
        <v>11.185</v>
      </c>
      <c r="D19" s="7">
        <v>18.225000000000001</v>
      </c>
      <c r="E19" s="1" t="s">
        <v>18</v>
      </c>
      <c r="F19" s="1">
        <v>31.01</v>
      </c>
      <c r="G19" s="1">
        <v>3</v>
      </c>
      <c r="H19" s="1">
        <v>200</v>
      </c>
      <c r="I19" s="1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3">
        <v>40814</v>
      </c>
      <c r="P19" s="7">
        <v>83.483093580000002</v>
      </c>
      <c r="R19" s="10" t="s">
        <v>15</v>
      </c>
      <c r="S19" s="6">
        <f>COUNTBLANK(P2:P158)</f>
        <v>0</v>
      </c>
      <c r="T19" s="11">
        <f>AVERAGE(P1:P158)</f>
        <v>76.979723796942679</v>
      </c>
      <c r="U19" s="11">
        <f>MEDIAN(P2:P158)</f>
        <v>72.03</v>
      </c>
    </row>
    <row r="20" spans="1:21" x14ac:dyDescent="0.3">
      <c r="A20" s="1" t="s">
        <v>35</v>
      </c>
      <c r="B20" s="1" t="s">
        <v>40</v>
      </c>
      <c r="C20" s="7">
        <v>14.785</v>
      </c>
      <c r="D20" s="7">
        <f>Car_sales_Cleaned!D13</f>
        <v>13.74</v>
      </c>
      <c r="E20" s="1" t="s">
        <v>41</v>
      </c>
      <c r="F20" s="1">
        <v>46.225000000000001</v>
      </c>
      <c r="G20" s="1">
        <v>5.7</v>
      </c>
      <c r="H20" s="1">
        <v>255</v>
      </c>
      <c r="I20" s="1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3">
        <v>41016</v>
      </c>
      <c r="P20" s="7">
        <v>109.5091165</v>
      </c>
    </row>
    <row r="21" spans="1:21" x14ac:dyDescent="0.3">
      <c r="A21" s="1" t="s">
        <v>42</v>
      </c>
      <c r="B21" s="1" t="s">
        <v>43</v>
      </c>
      <c r="C21" s="7">
        <v>145.51900000000001</v>
      </c>
      <c r="D21" s="7">
        <v>9.25</v>
      </c>
      <c r="E21" s="1" t="s">
        <v>18</v>
      </c>
      <c r="F21" s="1">
        <v>13.26</v>
      </c>
      <c r="G21" s="1">
        <v>2.2000000000000002</v>
      </c>
      <c r="H21" s="1">
        <v>115</v>
      </c>
      <c r="I21" s="1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3">
        <v>40772</v>
      </c>
      <c r="P21" s="7">
        <v>46.363347470000001</v>
      </c>
      <c r="R21" s="8"/>
      <c r="S21" s="8"/>
    </row>
    <row r="22" spans="1:21" x14ac:dyDescent="0.3">
      <c r="A22" s="1" t="s">
        <v>42</v>
      </c>
      <c r="B22" s="1" t="s">
        <v>44</v>
      </c>
      <c r="C22" s="7">
        <v>135.126</v>
      </c>
      <c r="D22" s="7">
        <v>11.225</v>
      </c>
      <c r="E22" s="1" t="s">
        <v>18</v>
      </c>
      <c r="F22" s="1">
        <v>16.535</v>
      </c>
      <c r="G22" s="1">
        <v>3.1</v>
      </c>
      <c r="H22" s="1">
        <v>170</v>
      </c>
      <c r="I22" s="1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3">
        <v>40987</v>
      </c>
      <c r="P22" s="7">
        <v>67.314462160000005</v>
      </c>
      <c r="S22" s="9"/>
    </row>
    <row r="23" spans="1:21" x14ac:dyDescent="0.3">
      <c r="A23" s="1" t="s">
        <v>42</v>
      </c>
      <c r="B23" s="1" t="s">
        <v>45</v>
      </c>
      <c r="C23" s="7">
        <v>24.629000000000001</v>
      </c>
      <c r="D23" s="7">
        <v>10.31</v>
      </c>
      <c r="E23" s="1" t="s">
        <v>18</v>
      </c>
      <c r="F23" s="1">
        <v>18.89</v>
      </c>
      <c r="G23" s="1">
        <v>3.1</v>
      </c>
      <c r="H23" s="1">
        <v>175</v>
      </c>
      <c r="I23" s="1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3">
        <v>40687</v>
      </c>
      <c r="P23" s="7">
        <v>69.991395600000004</v>
      </c>
      <c r="S23" s="8"/>
    </row>
    <row r="24" spans="1:21" x14ac:dyDescent="0.3">
      <c r="A24" s="1" t="s">
        <v>42</v>
      </c>
      <c r="B24" s="1" t="s">
        <v>46</v>
      </c>
      <c r="C24" s="7">
        <v>42.593000000000004</v>
      </c>
      <c r="D24" s="7">
        <v>11.525</v>
      </c>
      <c r="E24" s="1" t="s">
        <v>18</v>
      </c>
      <c r="F24" s="1">
        <v>19.39</v>
      </c>
      <c r="G24" s="1">
        <v>3.4</v>
      </c>
      <c r="H24" s="1">
        <v>180</v>
      </c>
      <c r="I24" s="1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3">
        <v>40899</v>
      </c>
      <c r="P24" s="7">
        <v>72.030917189999997</v>
      </c>
    </row>
    <row r="25" spans="1:21" x14ac:dyDescent="0.3">
      <c r="A25" s="1" t="s">
        <v>42</v>
      </c>
      <c r="B25" s="1" t="s">
        <v>47</v>
      </c>
      <c r="C25" s="7">
        <v>26.402000000000001</v>
      </c>
      <c r="D25" s="7">
        <v>13.025</v>
      </c>
      <c r="E25" s="1" t="s">
        <v>18</v>
      </c>
      <c r="F25" s="1">
        <v>24.34</v>
      </c>
      <c r="G25" s="1">
        <v>3.8</v>
      </c>
      <c r="H25" s="1">
        <v>200</v>
      </c>
      <c r="I25" s="1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3">
        <v>40839</v>
      </c>
      <c r="P25" s="7">
        <v>81.118543329999994</v>
      </c>
    </row>
    <row r="26" spans="1:21" x14ac:dyDescent="0.3">
      <c r="A26" s="1" t="s">
        <v>42</v>
      </c>
      <c r="B26" s="1" t="s">
        <v>48</v>
      </c>
      <c r="C26" s="7">
        <v>17.946999999999999</v>
      </c>
      <c r="D26" s="7">
        <v>36.225000000000001</v>
      </c>
      <c r="E26" s="1" t="s">
        <v>18</v>
      </c>
      <c r="F26" s="1">
        <v>45.704999999999998</v>
      </c>
      <c r="G26" s="1">
        <v>5.7</v>
      </c>
      <c r="H26" s="1">
        <v>345</v>
      </c>
      <c r="I26" s="1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3">
        <v>41041</v>
      </c>
      <c r="P26" s="7">
        <v>141.14115000000001</v>
      </c>
    </row>
    <row r="27" spans="1:21" x14ac:dyDescent="0.3">
      <c r="A27" s="1" t="s">
        <v>42</v>
      </c>
      <c r="B27" s="1" t="s">
        <v>49</v>
      </c>
      <c r="C27" s="7">
        <v>32.298999999999999</v>
      </c>
      <c r="D27" s="7">
        <v>9.125</v>
      </c>
      <c r="E27" s="1" t="s">
        <v>18</v>
      </c>
      <c r="F27" s="1">
        <v>13.96</v>
      </c>
      <c r="G27" s="1">
        <v>1.8</v>
      </c>
      <c r="H27" s="1">
        <v>120</v>
      </c>
      <c r="I27" s="1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3">
        <v>40797</v>
      </c>
      <c r="P27" s="7">
        <v>48.297636099999998</v>
      </c>
    </row>
    <row r="28" spans="1:21" x14ac:dyDescent="0.3">
      <c r="A28" s="1" t="s">
        <v>42</v>
      </c>
      <c r="B28" s="1" t="s">
        <v>50</v>
      </c>
      <c r="C28" s="7">
        <v>21.855</v>
      </c>
      <c r="D28" s="7">
        <v>5.16</v>
      </c>
      <c r="E28" s="1" t="s">
        <v>18</v>
      </c>
      <c r="F28" s="1">
        <v>9.2349999999999994</v>
      </c>
      <c r="G28" s="1">
        <v>1</v>
      </c>
      <c r="H28" s="1">
        <v>55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3">
        <v>41012</v>
      </c>
      <c r="P28" s="7">
        <v>23.276272330000001</v>
      </c>
    </row>
    <row r="29" spans="1:21" x14ac:dyDescent="0.3">
      <c r="A29" s="1" t="s">
        <v>42</v>
      </c>
      <c r="B29" s="1" t="s">
        <v>51</v>
      </c>
      <c r="C29" s="7">
        <v>107.995</v>
      </c>
      <c r="D29" s="7">
        <f>Car_sales_Cleaned!D22</f>
        <v>11.225</v>
      </c>
      <c r="E29" s="1" t="s">
        <v>18</v>
      </c>
      <c r="F29" s="1">
        <v>18.89</v>
      </c>
      <c r="G29" s="1">
        <v>3.4</v>
      </c>
      <c r="H29" s="1">
        <v>180</v>
      </c>
      <c r="I29" s="1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3">
        <v>40712</v>
      </c>
      <c r="P29" s="7">
        <v>71.838039440000003</v>
      </c>
    </row>
    <row r="30" spans="1:21" x14ac:dyDescent="0.3">
      <c r="A30" s="1" t="s">
        <v>52</v>
      </c>
      <c r="B30" s="1" t="s">
        <v>53</v>
      </c>
      <c r="C30" s="7">
        <v>7.8540000000000001</v>
      </c>
      <c r="D30" s="7">
        <v>12.36</v>
      </c>
      <c r="E30" s="1" t="s">
        <v>18</v>
      </c>
      <c r="F30" s="1">
        <v>19.84</v>
      </c>
      <c r="G30" s="1">
        <v>2.5</v>
      </c>
      <c r="H30" s="1">
        <v>163</v>
      </c>
      <c r="I30" s="1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3">
        <v>40924</v>
      </c>
      <c r="P30" s="7">
        <v>65.957183959999995</v>
      </c>
    </row>
    <row r="31" spans="1:21" x14ac:dyDescent="0.3">
      <c r="A31" s="1" t="s">
        <v>52</v>
      </c>
      <c r="B31" s="1" t="s">
        <v>54</v>
      </c>
      <c r="C31" s="7">
        <v>32.774999999999999</v>
      </c>
      <c r="D31" s="7">
        <v>14.18</v>
      </c>
      <c r="E31" s="1" t="s">
        <v>18</v>
      </c>
      <c r="F31" s="1">
        <v>24.495000000000001</v>
      </c>
      <c r="G31" s="1">
        <v>2.5</v>
      </c>
      <c r="H31" s="1">
        <v>168</v>
      </c>
      <c r="I31" s="1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3">
        <v>40864</v>
      </c>
      <c r="P31" s="7">
        <v>69.521355049999997</v>
      </c>
    </row>
    <row r="32" spans="1:21" x14ac:dyDescent="0.3">
      <c r="A32" s="1" t="s">
        <v>52</v>
      </c>
      <c r="B32" s="1" t="s">
        <v>55</v>
      </c>
      <c r="C32" s="7">
        <v>31.148</v>
      </c>
      <c r="D32" s="7">
        <v>13.725</v>
      </c>
      <c r="E32" s="1" t="s">
        <v>18</v>
      </c>
      <c r="F32" s="1">
        <v>22.245000000000001</v>
      </c>
      <c r="G32" s="1">
        <v>2.7</v>
      </c>
      <c r="H32" s="1">
        <v>200</v>
      </c>
      <c r="I32" s="1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3">
        <v>41066</v>
      </c>
      <c r="P32" s="7">
        <v>80.02378204</v>
      </c>
    </row>
    <row r="33" spans="1:16" x14ac:dyDescent="0.3">
      <c r="A33" s="1" t="s">
        <v>52</v>
      </c>
      <c r="B33" s="1" t="s">
        <v>56</v>
      </c>
      <c r="C33" s="7">
        <v>32.305999999999997</v>
      </c>
      <c r="D33" s="7">
        <v>12.64</v>
      </c>
      <c r="E33" s="1" t="s">
        <v>18</v>
      </c>
      <c r="F33" s="1">
        <v>16.48</v>
      </c>
      <c r="G33" s="1">
        <v>2</v>
      </c>
      <c r="H33" s="1">
        <v>132</v>
      </c>
      <c r="I33" s="1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3">
        <v>40822</v>
      </c>
      <c r="P33" s="7">
        <v>53.566199869999998</v>
      </c>
    </row>
    <row r="34" spans="1:16" x14ac:dyDescent="0.3">
      <c r="A34" s="1" t="s">
        <v>52</v>
      </c>
      <c r="B34" s="1" t="s">
        <v>57</v>
      </c>
      <c r="C34" s="7">
        <v>13.462</v>
      </c>
      <c r="D34" s="7">
        <v>17.324999999999999</v>
      </c>
      <c r="E34" s="1" t="s">
        <v>18</v>
      </c>
      <c r="F34" s="1">
        <v>28.34</v>
      </c>
      <c r="G34" s="1">
        <v>3.5</v>
      </c>
      <c r="H34" s="1">
        <v>253</v>
      </c>
      <c r="I34" s="1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3">
        <v>41037</v>
      </c>
      <c r="P34" s="7">
        <v>101.3292807</v>
      </c>
    </row>
    <row r="35" spans="1:16" x14ac:dyDescent="0.3">
      <c r="A35" s="1" t="s">
        <v>52</v>
      </c>
      <c r="B35" s="1" t="s">
        <v>58</v>
      </c>
      <c r="C35" s="7">
        <v>53.48</v>
      </c>
      <c r="D35" s="7">
        <v>19.54</v>
      </c>
      <c r="E35" s="1" t="s">
        <v>41</v>
      </c>
      <c r="F35" s="1">
        <f>22.8</f>
        <v>22.8</v>
      </c>
      <c r="G35" s="1">
        <f>3</f>
        <v>3</v>
      </c>
      <c r="H35" s="1">
        <f>177.5</f>
        <v>177.5</v>
      </c>
      <c r="I35" s="1">
        <f>107</f>
        <v>107</v>
      </c>
      <c r="J35" s="1">
        <f>70.55</f>
        <v>70.55</v>
      </c>
      <c r="K35" s="1">
        <f>187.9</f>
        <v>187.9</v>
      </c>
      <c r="L35" s="1">
        <f>3.342</f>
        <v>3.3420000000000001</v>
      </c>
      <c r="M35" s="1">
        <f>17.2</f>
        <v>17.2</v>
      </c>
      <c r="N35" s="1">
        <f>24</f>
        <v>24</v>
      </c>
      <c r="O35" s="3">
        <v>40737</v>
      </c>
      <c r="P35" s="7">
        <f>72.03</f>
        <v>72.03</v>
      </c>
    </row>
    <row r="36" spans="1:16" x14ac:dyDescent="0.3">
      <c r="A36" s="1" t="s">
        <v>52</v>
      </c>
      <c r="B36" s="1" t="s">
        <v>59</v>
      </c>
      <c r="C36" s="7">
        <v>30.696000000000002</v>
      </c>
      <c r="D36" s="7">
        <f>Car_sales_Cleaned!D29</f>
        <v>11.225</v>
      </c>
      <c r="E36" s="1" t="s">
        <v>18</v>
      </c>
      <c r="F36" s="1">
        <v>29.184999999999999</v>
      </c>
      <c r="G36" s="1">
        <v>3.5</v>
      </c>
      <c r="H36" s="1">
        <v>253</v>
      </c>
      <c r="I36" s="1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3">
        <v>40949</v>
      </c>
      <c r="P36" s="7">
        <v>101.6552441</v>
      </c>
    </row>
    <row r="37" spans="1:16" x14ac:dyDescent="0.3">
      <c r="A37" s="1" t="s">
        <v>60</v>
      </c>
      <c r="B37" s="1" t="s">
        <v>61</v>
      </c>
      <c r="C37" s="7">
        <v>76.034000000000006</v>
      </c>
      <c r="D37" s="7">
        <v>7.75</v>
      </c>
      <c r="E37" s="1" t="s">
        <v>18</v>
      </c>
      <c r="F37" s="1">
        <v>12.64</v>
      </c>
      <c r="G37" s="1">
        <v>2</v>
      </c>
      <c r="H37" s="1">
        <v>132</v>
      </c>
      <c r="I37" s="1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3">
        <v>40889</v>
      </c>
      <c r="P37" s="7">
        <v>52.084898750000001</v>
      </c>
    </row>
    <row r="38" spans="1:16" x14ac:dyDescent="0.3">
      <c r="A38" s="1" t="s">
        <v>60</v>
      </c>
      <c r="B38" s="1" t="s">
        <v>62</v>
      </c>
      <c r="C38" s="7">
        <v>4.734</v>
      </c>
      <c r="D38" s="7">
        <v>12.545</v>
      </c>
      <c r="E38" s="1" t="s">
        <v>18</v>
      </c>
      <c r="F38" s="1">
        <v>19.045000000000002</v>
      </c>
      <c r="G38" s="1">
        <v>2.5</v>
      </c>
      <c r="H38" s="1">
        <v>163</v>
      </c>
      <c r="I38" s="1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3">
        <v>41091</v>
      </c>
      <c r="P38" s="7">
        <v>65.650508340000002</v>
      </c>
    </row>
    <row r="39" spans="1:16" x14ac:dyDescent="0.3">
      <c r="A39" s="1" t="s">
        <v>60</v>
      </c>
      <c r="B39" s="1" t="s">
        <v>63</v>
      </c>
      <c r="C39" s="7">
        <v>71.186000000000007</v>
      </c>
      <c r="D39" s="7">
        <v>10.185</v>
      </c>
      <c r="E39" s="1" t="s">
        <v>18</v>
      </c>
      <c r="F39" s="1">
        <v>20.23</v>
      </c>
      <c r="G39" s="1">
        <v>2.5</v>
      </c>
      <c r="H39" s="1">
        <v>168</v>
      </c>
      <c r="I39" s="1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3">
        <v>40847</v>
      </c>
      <c r="P39" s="7">
        <v>67.876107840000003</v>
      </c>
    </row>
    <row r="40" spans="1:16" x14ac:dyDescent="0.3">
      <c r="A40" s="1" t="s">
        <v>60</v>
      </c>
      <c r="B40" s="1" t="s">
        <v>64</v>
      </c>
      <c r="C40" s="7">
        <v>88.028000000000006</v>
      </c>
      <c r="D40" s="7">
        <v>12.275</v>
      </c>
      <c r="E40" s="1" t="s">
        <v>18</v>
      </c>
      <c r="F40" s="1">
        <v>22.504999999999999</v>
      </c>
      <c r="G40" s="1">
        <v>2.7</v>
      </c>
      <c r="H40" s="1">
        <v>202</v>
      </c>
      <c r="I40" s="1">
        <v>113</v>
      </c>
      <c r="J40" s="1">
        <v>74.7</v>
      </c>
      <c r="K40" s="1">
        <v>203.7</v>
      </c>
      <c r="L40" s="1">
        <v>3.4889999999999999</v>
      </c>
      <c r="M40" s="1">
        <v>17</v>
      </c>
      <c r="N40" s="1">
        <f>24</f>
        <v>24</v>
      </c>
      <c r="O40" s="3">
        <v>41062</v>
      </c>
      <c r="P40" s="7">
        <v>80.831470170000003</v>
      </c>
    </row>
    <row r="41" spans="1:16" x14ac:dyDescent="0.3">
      <c r="A41" s="1" t="s">
        <v>60</v>
      </c>
      <c r="B41" s="1" t="s">
        <v>65</v>
      </c>
      <c r="C41" s="7">
        <v>0.91600000000000004</v>
      </c>
      <c r="D41" s="7">
        <v>58.47</v>
      </c>
      <c r="E41" s="1" t="s">
        <v>18</v>
      </c>
      <c r="F41" s="1">
        <v>69.724999999999994</v>
      </c>
      <c r="G41" s="1">
        <v>8</v>
      </c>
      <c r="H41" s="1">
        <v>450</v>
      </c>
      <c r="I41" s="1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3">
        <v>40762</v>
      </c>
      <c r="P41" s="7">
        <v>188.14432300000001</v>
      </c>
    </row>
    <row r="42" spans="1:16" x14ac:dyDescent="0.3">
      <c r="A42" s="1" t="s">
        <v>60</v>
      </c>
      <c r="B42" s="1" t="s">
        <v>66</v>
      </c>
      <c r="C42" s="7">
        <v>227.06100000000001</v>
      </c>
      <c r="D42" s="7">
        <v>15.06</v>
      </c>
      <c r="E42" s="1" t="s">
        <v>41</v>
      </c>
      <c r="F42" s="1">
        <v>19.46</v>
      </c>
      <c r="G42" s="1">
        <v>5.2</v>
      </c>
      <c r="H42" s="1">
        <v>230</v>
      </c>
      <c r="I42" s="1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3">
        <v>40974</v>
      </c>
      <c r="P42" s="7">
        <v>90.211700050000005</v>
      </c>
    </row>
    <row r="43" spans="1:16" x14ac:dyDescent="0.3">
      <c r="A43" s="1" t="s">
        <v>60</v>
      </c>
      <c r="B43" s="1" t="s">
        <v>67</v>
      </c>
      <c r="C43" s="7">
        <v>16.766999999999999</v>
      </c>
      <c r="D43" s="7">
        <v>15.51</v>
      </c>
      <c r="E43" s="1" t="s">
        <v>41</v>
      </c>
      <c r="F43" s="1">
        <v>21.315000000000001</v>
      </c>
      <c r="G43" s="1">
        <v>3.9</v>
      </c>
      <c r="H43" s="1">
        <v>175</v>
      </c>
      <c r="I43" s="1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3">
        <v>40914</v>
      </c>
      <c r="P43" s="7">
        <v>71.135291609999996</v>
      </c>
    </row>
    <row r="44" spans="1:16" x14ac:dyDescent="0.3">
      <c r="A44" s="1" t="s">
        <v>60</v>
      </c>
      <c r="B44" s="1" t="s">
        <v>68</v>
      </c>
      <c r="C44" s="7">
        <v>31.038</v>
      </c>
      <c r="D44" s="7">
        <v>13.425000000000001</v>
      </c>
      <c r="E44" s="1" t="s">
        <v>41</v>
      </c>
      <c r="F44" s="1">
        <v>18.574999999999999</v>
      </c>
      <c r="G44" s="1">
        <v>3.9</v>
      </c>
      <c r="H44" s="1">
        <v>175</v>
      </c>
      <c r="I44" s="1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3">
        <v>41116</v>
      </c>
      <c r="P44" s="7">
        <v>70.078321540000005</v>
      </c>
    </row>
    <row r="45" spans="1:16" x14ac:dyDescent="0.3">
      <c r="A45" s="1" t="s">
        <v>60</v>
      </c>
      <c r="B45" s="1" t="s">
        <v>69</v>
      </c>
      <c r="C45" s="7">
        <v>111.313</v>
      </c>
      <c r="D45" s="7">
        <v>11.26</v>
      </c>
      <c r="E45" s="1" t="s">
        <v>41</v>
      </c>
      <c r="F45" s="1">
        <v>16.98</v>
      </c>
      <c r="G45" s="1">
        <v>2.5</v>
      </c>
      <c r="H45" s="1">
        <v>120</v>
      </c>
      <c r="I45" s="1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3">
        <v>40872</v>
      </c>
      <c r="P45" s="7">
        <v>49.64500177</v>
      </c>
    </row>
    <row r="46" spans="1:16" x14ac:dyDescent="0.3">
      <c r="A46" s="1" t="s">
        <v>60</v>
      </c>
      <c r="B46" s="1" t="s">
        <v>70</v>
      </c>
      <c r="C46" s="7">
        <v>101.32299999999999</v>
      </c>
      <c r="D46" s="7">
        <f>Car_sales_Cleaned!D39</f>
        <v>10.185</v>
      </c>
      <c r="E46" s="1" t="s">
        <v>41</v>
      </c>
      <c r="F46" s="1">
        <v>26.31</v>
      </c>
      <c r="G46" s="1">
        <v>5.2</v>
      </c>
      <c r="H46" s="1">
        <v>230</v>
      </c>
      <c r="I46" s="1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3">
        <v>41087</v>
      </c>
      <c r="P46" s="7">
        <v>92.85412522</v>
      </c>
    </row>
    <row r="47" spans="1:16" x14ac:dyDescent="0.3">
      <c r="A47" s="1" t="s">
        <v>60</v>
      </c>
      <c r="B47" s="1" t="s">
        <v>71</v>
      </c>
      <c r="C47" s="7">
        <v>181.749</v>
      </c>
      <c r="D47" s="7">
        <v>12.025</v>
      </c>
      <c r="E47" s="1" t="s">
        <v>41</v>
      </c>
      <c r="F47" s="1">
        <v>19.565000000000001</v>
      </c>
      <c r="G47" s="1">
        <v>2.4</v>
      </c>
      <c r="H47" s="1">
        <v>150</v>
      </c>
      <c r="I47" s="1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3">
        <v>40787</v>
      </c>
      <c r="P47" s="7">
        <v>61.227000310000001</v>
      </c>
    </row>
    <row r="48" spans="1:16" x14ac:dyDescent="0.3">
      <c r="A48" s="1" t="s">
        <v>72</v>
      </c>
      <c r="B48" s="1" t="s">
        <v>73</v>
      </c>
      <c r="C48" s="7">
        <v>70.227000000000004</v>
      </c>
      <c r="D48" s="7">
        <v>7.4249999999999998</v>
      </c>
      <c r="E48" s="1" t="s">
        <v>18</v>
      </c>
      <c r="F48" s="1">
        <v>12.07</v>
      </c>
      <c r="G48" s="1">
        <v>2</v>
      </c>
      <c r="H48" s="1">
        <v>110</v>
      </c>
      <c r="I48" s="1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3">
        <v>40999</v>
      </c>
      <c r="P48" s="7">
        <v>44.083709460000001</v>
      </c>
    </row>
    <row r="49" spans="1:16" x14ac:dyDescent="0.3">
      <c r="A49" s="1" t="s">
        <v>72</v>
      </c>
      <c r="B49" s="1" t="s">
        <v>74</v>
      </c>
      <c r="C49" s="7">
        <v>113.369</v>
      </c>
      <c r="D49" s="7">
        <v>12.76</v>
      </c>
      <c r="E49" s="1" t="s">
        <v>18</v>
      </c>
      <c r="F49" s="1">
        <v>21.56</v>
      </c>
      <c r="G49" s="1">
        <v>3.8</v>
      </c>
      <c r="H49" s="1">
        <v>190</v>
      </c>
      <c r="I49" s="1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3">
        <v>40939</v>
      </c>
      <c r="P49" s="7">
        <v>76.509184559999994</v>
      </c>
    </row>
    <row r="50" spans="1:16" x14ac:dyDescent="0.3">
      <c r="A50" s="1" t="s">
        <v>72</v>
      </c>
      <c r="B50" s="1" t="s">
        <v>75</v>
      </c>
      <c r="C50" s="7">
        <v>35.067999999999998</v>
      </c>
      <c r="D50" s="7">
        <v>8.8350000000000009</v>
      </c>
      <c r="E50" s="1" t="s">
        <v>18</v>
      </c>
      <c r="F50" s="1">
        <v>17.035</v>
      </c>
      <c r="G50" s="1">
        <v>2.5</v>
      </c>
      <c r="H50" s="1">
        <v>170</v>
      </c>
      <c r="I50" s="1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3">
        <v>41141</v>
      </c>
      <c r="P50" s="7">
        <v>67.351010720000005</v>
      </c>
    </row>
    <row r="51" spans="1:16" x14ac:dyDescent="0.3">
      <c r="A51" s="1" t="s">
        <v>72</v>
      </c>
      <c r="B51" s="1" t="s">
        <v>76</v>
      </c>
      <c r="C51" s="7">
        <v>245.815</v>
      </c>
      <c r="D51" s="7">
        <v>10.055</v>
      </c>
      <c r="E51" s="1" t="s">
        <v>18</v>
      </c>
      <c r="F51" s="1">
        <v>17.885000000000002</v>
      </c>
      <c r="G51" s="1">
        <v>3</v>
      </c>
      <c r="H51" s="1">
        <v>155</v>
      </c>
      <c r="I51" s="1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3">
        <v>40897</v>
      </c>
      <c r="P51" s="7">
        <v>62.503739500000002</v>
      </c>
    </row>
    <row r="52" spans="1:16" x14ac:dyDescent="0.3">
      <c r="A52" s="1" t="s">
        <v>72</v>
      </c>
      <c r="B52" s="1" t="s">
        <v>77</v>
      </c>
      <c r="C52" s="7">
        <v>175.67</v>
      </c>
      <c r="D52" s="7">
        <f>Car_sales_Cleaned!D45</f>
        <v>11.26</v>
      </c>
      <c r="E52" s="1" t="s">
        <v>18</v>
      </c>
      <c r="F52" s="1">
        <v>12.315</v>
      </c>
      <c r="G52" s="1">
        <v>2</v>
      </c>
      <c r="H52" s="1">
        <v>107</v>
      </c>
      <c r="I52" s="1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3">
        <v>41112</v>
      </c>
      <c r="P52" s="7">
        <v>43.117132009999999</v>
      </c>
    </row>
    <row r="53" spans="1:16" x14ac:dyDescent="0.3">
      <c r="A53" s="1" t="s">
        <v>72</v>
      </c>
      <c r="B53" s="1" t="s">
        <v>78</v>
      </c>
      <c r="C53" s="7">
        <v>63.402999999999999</v>
      </c>
      <c r="D53" s="7">
        <v>14.21</v>
      </c>
      <c r="E53" s="1" t="s">
        <v>18</v>
      </c>
      <c r="F53" s="1">
        <v>22.195</v>
      </c>
      <c r="G53" s="1">
        <v>4.5999999999999996</v>
      </c>
      <c r="H53" s="1">
        <v>200</v>
      </c>
      <c r="I53" s="1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3">
        <v>40812</v>
      </c>
      <c r="P53" s="7">
        <v>80.499536710000001</v>
      </c>
    </row>
    <row r="54" spans="1:16" x14ac:dyDescent="0.3">
      <c r="A54" s="1" t="s">
        <v>72</v>
      </c>
      <c r="B54" s="1" t="s">
        <v>79</v>
      </c>
      <c r="C54" s="7">
        <v>276.74700000000001</v>
      </c>
      <c r="D54" s="7">
        <v>16.64</v>
      </c>
      <c r="E54" s="1" t="s">
        <v>41</v>
      </c>
      <c r="F54" s="1">
        <v>31.93</v>
      </c>
      <c r="G54" s="1">
        <v>4</v>
      </c>
      <c r="H54" s="1">
        <v>210</v>
      </c>
      <c r="I54" s="1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3">
        <v>41024</v>
      </c>
      <c r="P54" s="7">
        <v>87.635495779999999</v>
      </c>
    </row>
    <row r="55" spans="1:16" x14ac:dyDescent="0.3">
      <c r="A55" s="1" t="s">
        <v>72</v>
      </c>
      <c r="B55" s="1" t="s">
        <v>80</v>
      </c>
      <c r="C55" s="7">
        <v>155.78700000000001</v>
      </c>
      <c r="D55" s="7">
        <v>13.175000000000001</v>
      </c>
      <c r="E55" s="1" t="s">
        <v>41</v>
      </c>
      <c r="F55" s="1">
        <v>21.41</v>
      </c>
      <c r="G55" s="1">
        <v>3</v>
      </c>
      <c r="H55" s="1">
        <v>150</v>
      </c>
      <c r="I55" s="1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3">
        <v>40964</v>
      </c>
      <c r="P55" s="7">
        <v>62.095048390000002</v>
      </c>
    </row>
    <row r="56" spans="1:16" x14ac:dyDescent="0.3">
      <c r="A56" s="1" t="s">
        <v>72</v>
      </c>
      <c r="B56" s="1" t="s">
        <v>81</v>
      </c>
      <c r="C56" s="7">
        <v>125.33799999999999</v>
      </c>
      <c r="D56" s="7">
        <v>23.574999999999999</v>
      </c>
      <c r="E56" s="1" t="s">
        <v>41</v>
      </c>
      <c r="F56" s="1">
        <v>36.134999999999998</v>
      </c>
      <c r="G56" s="1">
        <v>4.5999999999999996</v>
      </c>
      <c r="H56" s="1">
        <v>240</v>
      </c>
      <c r="I56" s="1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3">
        <v>41166</v>
      </c>
      <c r="P56" s="7">
        <v>100.0248023</v>
      </c>
    </row>
    <row r="57" spans="1:16" x14ac:dyDescent="0.3">
      <c r="A57" s="1" t="s">
        <v>72</v>
      </c>
      <c r="B57" s="1" t="s">
        <v>82</v>
      </c>
      <c r="C57" s="7">
        <v>220.65</v>
      </c>
      <c r="D57" s="7">
        <v>7.85</v>
      </c>
      <c r="E57" s="1" t="s">
        <v>41</v>
      </c>
      <c r="F57" s="1">
        <v>12.05</v>
      </c>
      <c r="G57" s="1">
        <v>2.5</v>
      </c>
      <c r="H57" s="1">
        <v>119</v>
      </c>
      <c r="I57" s="1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3">
        <v>40922</v>
      </c>
      <c r="P57" s="7">
        <v>47.389531310000002</v>
      </c>
    </row>
    <row r="58" spans="1:16" x14ac:dyDescent="0.3">
      <c r="A58" s="1" t="s">
        <v>72</v>
      </c>
      <c r="B58" s="1" t="s">
        <v>83</v>
      </c>
      <c r="C58" s="7">
        <v>540.56100000000004</v>
      </c>
      <c r="D58" s="7">
        <v>15.074999999999999</v>
      </c>
      <c r="E58" s="1" t="s">
        <v>41</v>
      </c>
      <c r="F58" s="1">
        <v>26.934999999999999</v>
      </c>
      <c r="G58" s="1">
        <v>4.5999999999999996</v>
      </c>
      <c r="H58" s="1">
        <v>220</v>
      </c>
      <c r="I58" s="1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3">
        <v>41137</v>
      </c>
      <c r="P58" s="7">
        <v>89.401934729999994</v>
      </c>
    </row>
    <row r="59" spans="1:16" x14ac:dyDescent="0.3">
      <c r="A59" s="1" t="s">
        <v>84</v>
      </c>
      <c r="B59" s="1" t="s">
        <v>85</v>
      </c>
      <c r="C59" s="7">
        <v>199.685</v>
      </c>
      <c r="D59" s="7">
        <v>9.85</v>
      </c>
      <c r="E59" s="1" t="s">
        <v>18</v>
      </c>
      <c r="F59" s="1">
        <v>12.885</v>
      </c>
      <c r="G59" s="1">
        <v>1.6</v>
      </c>
      <c r="H59" s="1">
        <v>106</v>
      </c>
      <c r="I59" s="1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3">
        <v>40837</v>
      </c>
      <c r="P59" s="7">
        <v>42.879097340000001</v>
      </c>
    </row>
    <row r="60" spans="1:16" x14ac:dyDescent="0.3">
      <c r="A60" s="1" t="s">
        <v>84</v>
      </c>
      <c r="B60" s="1" t="s">
        <v>86</v>
      </c>
      <c r="C60" s="7">
        <v>230.90199999999999</v>
      </c>
      <c r="D60" s="7">
        <v>13.21</v>
      </c>
      <c r="E60" s="1" t="s">
        <v>18</v>
      </c>
      <c r="F60" s="1">
        <v>15.35</v>
      </c>
      <c r="G60" s="1">
        <v>2.2999999999999998</v>
      </c>
      <c r="H60" s="1">
        <v>135</v>
      </c>
      <c r="I60" s="1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3">
        <v>41049</v>
      </c>
      <c r="P60" s="7">
        <v>54.269548290000003</v>
      </c>
    </row>
    <row r="61" spans="1:16" x14ac:dyDescent="0.3">
      <c r="A61" s="1" t="s">
        <v>84</v>
      </c>
      <c r="B61" s="1" t="s">
        <v>87</v>
      </c>
      <c r="C61" s="7">
        <v>73.203000000000003</v>
      </c>
      <c r="D61" s="7">
        <v>17.71</v>
      </c>
      <c r="E61" s="1" t="s">
        <v>41</v>
      </c>
      <c r="F61" s="1">
        <v>20.55</v>
      </c>
      <c r="G61" s="1">
        <v>2</v>
      </c>
      <c r="H61" s="1">
        <v>146</v>
      </c>
      <c r="I61" s="1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3">
        <v>40989</v>
      </c>
      <c r="P61" s="7">
        <v>60.087966620000003</v>
      </c>
    </row>
    <row r="62" spans="1:16" x14ac:dyDescent="0.3">
      <c r="A62" s="1" t="s">
        <v>84</v>
      </c>
      <c r="B62" s="1" t="s">
        <v>88</v>
      </c>
      <c r="C62" s="7">
        <v>12.855</v>
      </c>
      <c r="D62" s="7">
        <v>17.524999999999999</v>
      </c>
      <c r="E62" s="1" t="s">
        <v>41</v>
      </c>
      <c r="F62" s="1">
        <v>26.6</v>
      </c>
      <c r="G62" s="1">
        <v>3.2</v>
      </c>
      <c r="H62" s="1">
        <v>205</v>
      </c>
      <c r="I62" s="1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3">
        <v>41191</v>
      </c>
      <c r="P62" s="7">
        <v>83.602500800000001</v>
      </c>
    </row>
    <row r="63" spans="1:16" x14ac:dyDescent="0.3">
      <c r="A63" s="1" t="s">
        <v>84</v>
      </c>
      <c r="B63" s="1" t="s">
        <v>89</v>
      </c>
      <c r="C63" s="7">
        <v>76.028999999999996</v>
      </c>
      <c r="D63" s="7">
        <v>19.489999999999998</v>
      </c>
      <c r="E63" s="1" t="s">
        <v>41</v>
      </c>
      <c r="F63" s="1">
        <v>26</v>
      </c>
      <c r="G63" s="1">
        <v>3.5</v>
      </c>
      <c r="H63" s="1">
        <v>210</v>
      </c>
      <c r="I63" s="1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3">
        <v>40947</v>
      </c>
      <c r="P63" s="7">
        <v>85.217691340000002</v>
      </c>
    </row>
    <row r="64" spans="1:16" x14ac:dyDescent="0.3">
      <c r="A64" s="1" t="s">
        <v>90</v>
      </c>
      <c r="B64" s="1" t="s">
        <v>91</v>
      </c>
      <c r="C64" s="7">
        <v>41.183999999999997</v>
      </c>
      <c r="D64" s="7">
        <v>5.86</v>
      </c>
      <c r="E64" s="1" t="s">
        <v>18</v>
      </c>
      <c r="F64" s="1">
        <v>9.6989999999999998</v>
      </c>
      <c r="G64" s="1">
        <v>1.5</v>
      </c>
      <c r="H64" s="1">
        <v>92</v>
      </c>
      <c r="I64" s="1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3">
        <v>41162</v>
      </c>
      <c r="P64" s="7">
        <v>36.672283579999998</v>
      </c>
    </row>
    <row r="65" spans="1:16" x14ac:dyDescent="0.3">
      <c r="A65" s="1" t="s">
        <v>90</v>
      </c>
      <c r="B65" s="1" t="s">
        <v>92</v>
      </c>
      <c r="C65" s="7">
        <v>66.691999999999993</v>
      </c>
      <c r="D65" s="7">
        <v>7.8250000000000002</v>
      </c>
      <c r="E65" s="1" t="s">
        <v>18</v>
      </c>
      <c r="F65" s="1">
        <v>11.798999999999999</v>
      </c>
      <c r="G65" s="1">
        <v>2</v>
      </c>
      <c r="H65" s="1">
        <v>140</v>
      </c>
      <c r="I65" s="1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3">
        <v>40862</v>
      </c>
      <c r="P65" s="7">
        <v>54.590045160000003</v>
      </c>
    </row>
    <row r="66" spans="1:16" x14ac:dyDescent="0.3">
      <c r="A66" s="1" t="s">
        <v>90</v>
      </c>
      <c r="B66" s="1" t="s">
        <v>93</v>
      </c>
      <c r="C66" s="7">
        <v>29.45</v>
      </c>
      <c r="D66" s="7">
        <v>8.91</v>
      </c>
      <c r="E66" s="1" t="s">
        <v>18</v>
      </c>
      <c r="F66" s="1">
        <v>14.999000000000001</v>
      </c>
      <c r="G66" s="1">
        <v>2.4</v>
      </c>
      <c r="H66" s="1">
        <v>148</v>
      </c>
      <c r="I66" s="1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3">
        <v>41074</v>
      </c>
      <c r="P66" s="7">
        <v>58.758248999999999</v>
      </c>
    </row>
    <row r="67" spans="1:16" x14ac:dyDescent="0.3">
      <c r="A67" s="1" t="s">
        <v>94</v>
      </c>
      <c r="B67" s="1" t="s">
        <v>95</v>
      </c>
      <c r="C67" s="7">
        <v>23.713000000000001</v>
      </c>
      <c r="D67" s="7">
        <v>19.690000000000001</v>
      </c>
      <c r="E67" s="1" t="s">
        <v>18</v>
      </c>
      <c r="F67" s="1">
        <v>29.465</v>
      </c>
      <c r="G67" s="1">
        <v>3</v>
      </c>
      <c r="H67" s="1">
        <v>227</v>
      </c>
      <c r="I67" s="1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3">
        <v>41014</v>
      </c>
      <c r="P67" s="7">
        <v>92.436889230000006</v>
      </c>
    </row>
    <row r="68" spans="1:16" x14ac:dyDescent="0.3">
      <c r="A68" s="1" t="s">
        <v>96</v>
      </c>
      <c r="B68" s="1" t="s">
        <v>97</v>
      </c>
      <c r="C68" s="7">
        <v>15.467000000000001</v>
      </c>
      <c r="D68" s="7">
        <f>Car_sales_Cleaned!D61</f>
        <v>17.71</v>
      </c>
      <c r="E68" s="1" t="s">
        <v>18</v>
      </c>
      <c r="F68" s="1">
        <v>42.8</v>
      </c>
      <c r="G68" s="1">
        <v>3</v>
      </c>
      <c r="H68" s="1">
        <v>240</v>
      </c>
      <c r="I68" s="1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3">
        <v>41216</v>
      </c>
      <c r="P68" s="7">
        <v>102.17898479999999</v>
      </c>
    </row>
    <row r="69" spans="1:16" x14ac:dyDescent="0.3">
      <c r="A69" s="1" t="s">
        <v>98</v>
      </c>
      <c r="B69" s="1" t="s">
        <v>99</v>
      </c>
      <c r="C69" s="7">
        <v>55.557000000000002</v>
      </c>
      <c r="D69" s="7">
        <v>13.475</v>
      </c>
      <c r="E69" s="1" t="s">
        <v>41</v>
      </c>
      <c r="F69" s="1">
        <v>14.46</v>
      </c>
      <c r="G69" s="1">
        <v>2.5</v>
      </c>
      <c r="H69" s="1">
        <v>120</v>
      </c>
      <c r="I69" s="1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3">
        <v>40972</v>
      </c>
      <c r="P69" s="7">
        <v>48.672897910000003</v>
      </c>
    </row>
    <row r="70" spans="1:16" x14ac:dyDescent="0.3">
      <c r="A70" s="1" t="s">
        <v>98</v>
      </c>
      <c r="B70" s="1" t="s">
        <v>100</v>
      </c>
      <c r="C70" s="7">
        <v>80.555999999999997</v>
      </c>
      <c r="D70" s="7">
        <v>13.775</v>
      </c>
      <c r="E70" s="1" t="s">
        <v>41</v>
      </c>
      <c r="F70" s="1">
        <v>21.62</v>
      </c>
      <c r="G70" s="1">
        <v>4</v>
      </c>
      <c r="H70" s="1">
        <v>190</v>
      </c>
      <c r="I70" s="1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3">
        <v>41187</v>
      </c>
      <c r="P70" s="7">
        <v>76.584439619999998</v>
      </c>
    </row>
    <row r="71" spans="1:16" x14ac:dyDescent="0.3">
      <c r="A71" s="1" t="s">
        <v>98</v>
      </c>
      <c r="B71" s="1" t="s">
        <v>101</v>
      </c>
      <c r="C71" s="7">
        <v>157.04</v>
      </c>
      <c r="D71" s="7">
        <v>18.809999999999999</v>
      </c>
      <c r="E71" s="1" t="s">
        <v>41</v>
      </c>
      <c r="F71" s="1">
        <v>26.895</v>
      </c>
      <c r="G71" s="1">
        <v>4</v>
      </c>
      <c r="H71" s="1">
        <v>195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3">
        <v>40887</v>
      </c>
      <c r="P71" s="7">
        <v>80.387779120000005</v>
      </c>
    </row>
    <row r="72" spans="1:16" x14ac:dyDescent="0.3">
      <c r="A72" s="1" t="s">
        <v>102</v>
      </c>
      <c r="B72" s="1" t="s">
        <v>103</v>
      </c>
      <c r="C72" s="7">
        <v>24.071999999999999</v>
      </c>
      <c r="D72" s="7">
        <v>26.975000000000001</v>
      </c>
      <c r="E72" s="1" t="s">
        <v>18</v>
      </c>
      <c r="F72" s="1">
        <v>31.504999999999999</v>
      </c>
      <c r="G72" s="1">
        <v>3</v>
      </c>
      <c r="H72" s="1">
        <v>210</v>
      </c>
      <c r="I72" s="1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3">
        <v>41099</v>
      </c>
      <c r="P72" s="7">
        <v>87.211001039999999</v>
      </c>
    </row>
    <row r="73" spans="1:16" x14ac:dyDescent="0.3">
      <c r="A73" s="1" t="s">
        <v>102</v>
      </c>
      <c r="B73" s="1" t="s">
        <v>104</v>
      </c>
      <c r="C73" s="7">
        <v>12.698</v>
      </c>
      <c r="D73" s="7">
        <v>32.075000000000003</v>
      </c>
      <c r="E73" s="1" t="s">
        <v>18</v>
      </c>
      <c r="F73" s="1">
        <v>37.805</v>
      </c>
      <c r="G73" s="1">
        <v>3</v>
      </c>
      <c r="H73" s="1">
        <v>225</v>
      </c>
      <c r="I73" s="1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3">
        <v>41039</v>
      </c>
      <c r="P73" s="7">
        <v>94.946698400000002</v>
      </c>
    </row>
    <row r="74" spans="1:16" x14ac:dyDescent="0.3">
      <c r="A74" s="1" t="s">
        <v>102</v>
      </c>
      <c r="B74" s="1" t="s">
        <v>105</v>
      </c>
      <c r="C74" s="7">
        <v>3.3340000000000001</v>
      </c>
      <c r="D74" s="7">
        <f>Car_sales_Cleaned!D67</f>
        <v>19.690000000000001</v>
      </c>
      <c r="E74" s="1" t="s">
        <v>18</v>
      </c>
      <c r="F74" s="1">
        <v>46.305</v>
      </c>
      <c r="G74" s="1">
        <v>4</v>
      </c>
      <c r="H74" s="1">
        <v>300</v>
      </c>
      <c r="I74" s="1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3">
        <v>41241</v>
      </c>
      <c r="P74" s="7">
        <v>125.0133574</v>
      </c>
    </row>
    <row r="75" spans="1:16" x14ac:dyDescent="0.3">
      <c r="A75" s="1" t="s">
        <v>102</v>
      </c>
      <c r="B75" s="1" t="s">
        <v>106</v>
      </c>
      <c r="C75" s="7">
        <v>6.375</v>
      </c>
      <c r="D75" s="7">
        <v>40.375</v>
      </c>
      <c r="E75" s="1" t="s">
        <v>18</v>
      </c>
      <c r="F75" s="1">
        <v>54.005000000000003</v>
      </c>
      <c r="G75" s="1">
        <v>4</v>
      </c>
      <c r="H75" s="1">
        <v>290</v>
      </c>
      <c r="I75" s="1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3">
        <v>40997</v>
      </c>
      <c r="P75" s="7">
        <v>124.44671630000001</v>
      </c>
    </row>
    <row r="76" spans="1:16" x14ac:dyDescent="0.3">
      <c r="A76" s="1" t="s">
        <v>102</v>
      </c>
      <c r="B76" s="1" t="s">
        <v>107</v>
      </c>
      <c r="C76" s="7">
        <v>9.1259999999999994</v>
      </c>
      <c r="D76" s="7">
        <f>Car_sales_Cleaned!D69</f>
        <v>13.475</v>
      </c>
      <c r="E76" s="1" t="s">
        <v>41</v>
      </c>
      <c r="F76" s="1">
        <v>60.104999999999997</v>
      </c>
      <c r="G76" s="1">
        <v>4.7</v>
      </c>
      <c r="H76" s="1">
        <v>230</v>
      </c>
      <c r="I76" s="1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3">
        <v>41212</v>
      </c>
      <c r="P76" s="7">
        <v>105.760458</v>
      </c>
    </row>
    <row r="77" spans="1:16" x14ac:dyDescent="0.3">
      <c r="A77" s="1" t="s">
        <v>102</v>
      </c>
      <c r="B77" s="1" t="s">
        <v>108</v>
      </c>
      <c r="C77" s="7">
        <v>51.238</v>
      </c>
      <c r="D77" s="7">
        <f>Car_sales_Cleaned!D70</f>
        <v>13.775</v>
      </c>
      <c r="E77" s="1" t="s">
        <v>41</v>
      </c>
      <c r="F77" s="1">
        <v>34.604999999999997</v>
      </c>
      <c r="G77" s="1">
        <v>3</v>
      </c>
      <c r="H77" s="1">
        <v>220</v>
      </c>
      <c r="I77" s="1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3">
        <v>40912</v>
      </c>
      <c r="P77" s="7">
        <v>91.943801559999997</v>
      </c>
    </row>
    <row r="78" spans="1:16" x14ac:dyDescent="0.3">
      <c r="A78" s="1" t="s">
        <v>109</v>
      </c>
      <c r="B78" s="1" t="s">
        <v>110</v>
      </c>
      <c r="C78" s="7">
        <v>13.798</v>
      </c>
      <c r="D78" s="7">
        <v>20.524999999999999</v>
      </c>
      <c r="E78" s="1" t="s">
        <v>18</v>
      </c>
      <c r="F78" s="1">
        <v>39.08</v>
      </c>
      <c r="G78" s="1">
        <v>4.5999999999999996</v>
      </c>
      <c r="H78" s="1">
        <v>275</v>
      </c>
      <c r="I78" s="1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3">
        <v>41124</v>
      </c>
      <c r="P78" s="7">
        <v>113.5402069</v>
      </c>
    </row>
    <row r="79" spans="1:16" x14ac:dyDescent="0.3">
      <c r="A79" s="1" t="s">
        <v>109</v>
      </c>
      <c r="B79" s="1" t="s">
        <v>111</v>
      </c>
      <c r="C79" s="7">
        <v>48.911000000000001</v>
      </c>
      <c r="D79" s="7">
        <v>21.725000000000001</v>
      </c>
      <c r="E79" s="1" t="s">
        <v>18</v>
      </c>
      <c r="F79" s="1">
        <v>43.33</v>
      </c>
      <c r="G79" s="1">
        <v>4.5999999999999996</v>
      </c>
      <c r="H79" s="1">
        <v>215</v>
      </c>
      <c r="I79" s="1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3">
        <v>41064</v>
      </c>
      <c r="P79" s="7">
        <v>93.957916900000001</v>
      </c>
    </row>
    <row r="80" spans="1:16" x14ac:dyDescent="0.3">
      <c r="A80" s="1" t="s">
        <v>109</v>
      </c>
      <c r="B80" s="1" t="s">
        <v>112</v>
      </c>
      <c r="C80" s="7">
        <v>22.925000000000001</v>
      </c>
      <c r="D80" s="7">
        <f>Car_sales_Cleaned!D73</f>
        <v>32.075000000000003</v>
      </c>
      <c r="E80" s="1" t="s">
        <v>41</v>
      </c>
      <c r="F80" s="1">
        <v>42.66</v>
      </c>
      <c r="G80" s="1">
        <v>5.4</v>
      </c>
      <c r="H80" s="1">
        <v>300</v>
      </c>
      <c r="I80" s="1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3">
        <v>41266</v>
      </c>
      <c r="P80" s="7">
        <v>123.97204670000001</v>
      </c>
    </row>
    <row r="81" spans="1:16" x14ac:dyDescent="0.3">
      <c r="A81" s="1" t="s">
        <v>113</v>
      </c>
      <c r="B81" s="1" t="s">
        <v>114</v>
      </c>
      <c r="C81" s="7">
        <v>26.231999999999999</v>
      </c>
      <c r="D81" s="7">
        <v>8.3249999999999993</v>
      </c>
      <c r="E81" s="1" t="s">
        <v>18</v>
      </c>
      <c r="F81" s="1">
        <v>13.987</v>
      </c>
      <c r="G81" s="1">
        <v>1.8</v>
      </c>
      <c r="H81" s="1">
        <v>113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3">
        <v>41022</v>
      </c>
      <c r="P81" s="7">
        <v>45.832180559999998</v>
      </c>
    </row>
    <row r="82" spans="1:16" x14ac:dyDescent="0.3">
      <c r="A82" s="1" t="s">
        <v>113</v>
      </c>
      <c r="B82" s="1" t="s">
        <v>115</v>
      </c>
      <c r="C82" s="7">
        <v>42.540999999999997</v>
      </c>
      <c r="D82" s="7">
        <v>10.395</v>
      </c>
      <c r="E82" s="1" t="s">
        <v>18</v>
      </c>
      <c r="F82" s="1">
        <v>19.047000000000001</v>
      </c>
      <c r="G82" s="1">
        <v>2.4</v>
      </c>
      <c r="H82" s="1">
        <v>154</v>
      </c>
      <c r="I82" s="1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3">
        <v>41237</v>
      </c>
      <c r="P82" s="7">
        <v>62.441962349999997</v>
      </c>
    </row>
    <row r="83" spans="1:16" x14ac:dyDescent="0.3">
      <c r="A83" s="1" t="s">
        <v>113</v>
      </c>
      <c r="B83" s="1" t="s">
        <v>116</v>
      </c>
      <c r="C83" s="7">
        <v>55.616</v>
      </c>
      <c r="D83" s="7">
        <v>10.595000000000001</v>
      </c>
      <c r="E83" s="1" t="s">
        <v>18</v>
      </c>
      <c r="F83" s="1">
        <v>17.356999999999999</v>
      </c>
      <c r="G83" s="1">
        <v>2.4</v>
      </c>
      <c r="H83" s="1">
        <v>145</v>
      </c>
      <c r="I83" s="1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3">
        <v>40937</v>
      </c>
      <c r="P83" s="7">
        <v>58.606772919999997</v>
      </c>
    </row>
    <row r="84" spans="1:16" x14ac:dyDescent="0.3">
      <c r="A84" s="1" t="s">
        <v>113</v>
      </c>
      <c r="B84" s="1" t="s">
        <v>117</v>
      </c>
      <c r="C84" s="7">
        <v>5.7110000000000003</v>
      </c>
      <c r="D84" s="7">
        <v>16.574999999999999</v>
      </c>
      <c r="E84" s="1" t="s">
        <v>18</v>
      </c>
      <c r="F84" s="1">
        <v>24.997</v>
      </c>
      <c r="G84" s="1">
        <v>3.5</v>
      </c>
      <c r="H84" s="1">
        <v>210</v>
      </c>
      <c r="I84" s="1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3">
        <v>41149</v>
      </c>
      <c r="P84" s="7">
        <v>84.83077858</v>
      </c>
    </row>
    <row r="85" spans="1:16" x14ac:dyDescent="0.3">
      <c r="A85" s="1" t="s">
        <v>113</v>
      </c>
      <c r="B85" s="1" t="s">
        <v>118</v>
      </c>
      <c r="C85" s="7">
        <v>0.11</v>
      </c>
      <c r="D85" s="7">
        <v>20.94</v>
      </c>
      <c r="E85" s="1" t="s">
        <v>18</v>
      </c>
      <c r="F85" s="1">
        <v>25.45</v>
      </c>
      <c r="G85" s="1">
        <v>3</v>
      </c>
      <c r="H85" s="1">
        <v>161</v>
      </c>
      <c r="I85" s="1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3">
        <v>41089</v>
      </c>
      <c r="P85" s="7">
        <v>67.544154939999999</v>
      </c>
    </row>
    <row r="86" spans="1:16" x14ac:dyDescent="0.3">
      <c r="A86" s="1" t="s">
        <v>113</v>
      </c>
      <c r="B86" s="1" t="s">
        <v>119</v>
      </c>
      <c r="C86" s="7">
        <v>11.337</v>
      </c>
      <c r="D86" s="7">
        <v>19.125</v>
      </c>
      <c r="E86" s="1" t="s">
        <v>41</v>
      </c>
      <c r="F86" s="1">
        <v>31.806999999999999</v>
      </c>
      <c r="G86" s="1">
        <v>3.5</v>
      </c>
      <c r="H86" s="1">
        <v>200</v>
      </c>
      <c r="I86" s="1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3">
        <v>40925</v>
      </c>
      <c r="P86" s="7">
        <v>83.920815039999994</v>
      </c>
    </row>
    <row r="87" spans="1:16" x14ac:dyDescent="0.3">
      <c r="A87" s="1" t="s">
        <v>113</v>
      </c>
      <c r="B87" s="1" t="s">
        <v>120</v>
      </c>
      <c r="C87" s="7">
        <v>39.347999999999999</v>
      </c>
      <c r="D87" s="7">
        <v>13.88</v>
      </c>
      <c r="E87" s="1" t="s">
        <v>41</v>
      </c>
      <c r="F87" s="1">
        <v>22.527000000000001</v>
      </c>
      <c r="G87" s="1">
        <v>3</v>
      </c>
      <c r="H87" s="1">
        <v>173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3">
        <v>41047</v>
      </c>
      <c r="P87" s="7">
        <v>70.660941789999995</v>
      </c>
    </row>
    <row r="88" spans="1:16" x14ac:dyDescent="0.3">
      <c r="A88" s="1" t="s">
        <v>121</v>
      </c>
      <c r="B88" s="1" t="s">
        <v>122</v>
      </c>
      <c r="C88" s="7">
        <v>14.351000000000001</v>
      </c>
      <c r="D88" s="7">
        <v>8.8000000000000007</v>
      </c>
      <c r="E88" s="1" t="s">
        <v>18</v>
      </c>
      <c r="F88" s="1">
        <v>16.239999999999998</v>
      </c>
      <c r="G88" s="1">
        <v>2</v>
      </c>
      <c r="H88" s="1">
        <v>125</v>
      </c>
      <c r="I88" s="1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3">
        <v>41262</v>
      </c>
      <c r="P88" s="7">
        <v>50.997747609999998</v>
      </c>
    </row>
    <row r="89" spans="1:16" x14ac:dyDescent="0.3">
      <c r="A89" s="1" t="s">
        <v>121</v>
      </c>
      <c r="B89" s="1" t="s">
        <v>123</v>
      </c>
      <c r="C89" s="7">
        <v>26.529</v>
      </c>
      <c r="D89" s="7">
        <v>13.89</v>
      </c>
      <c r="E89" s="1" t="s">
        <v>18</v>
      </c>
      <c r="F89" s="1">
        <v>16.54</v>
      </c>
      <c r="G89" s="1">
        <v>2</v>
      </c>
      <c r="H89" s="1">
        <v>125</v>
      </c>
      <c r="I89" s="1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3">
        <v>40962</v>
      </c>
      <c r="P89" s="7">
        <v>51.113474259999997</v>
      </c>
    </row>
    <row r="90" spans="1:16" x14ac:dyDescent="0.3">
      <c r="A90" s="1" t="s">
        <v>121</v>
      </c>
      <c r="B90" s="1" t="s">
        <v>124</v>
      </c>
      <c r="C90" s="7">
        <v>67.956000000000003</v>
      </c>
      <c r="D90" s="7">
        <v>11.03</v>
      </c>
      <c r="E90" s="1" t="s">
        <v>18</v>
      </c>
      <c r="F90" s="1">
        <v>19.035</v>
      </c>
      <c r="G90" s="1">
        <v>3</v>
      </c>
      <c r="H90" s="1">
        <v>153</v>
      </c>
      <c r="I90" s="1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3">
        <v>41174</v>
      </c>
      <c r="P90" s="7">
        <v>62.239966629999998</v>
      </c>
    </row>
    <row r="91" spans="1:16" x14ac:dyDescent="0.3">
      <c r="A91" s="1" t="s">
        <v>121</v>
      </c>
      <c r="B91" s="1" t="s">
        <v>125</v>
      </c>
      <c r="C91" s="7">
        <v>81.174000000000007</v>
      </c>
      <c r="D91" s="7">
        <v>14.875</v>
      </c>
      <c r="E91" s="1" t="s">
        <v>18</v>
      </c>
      <c r="F91" s="1">
        <v>22.605</v>
      </c>
      <c r="G91" s="1">
        <v>4.5999999999999996</v>
      </c>
      <c r="H91" s="1">
        <v>200</v>
      </c>
      <c r="I91" s="1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3">
        <v>41114</v>
      </c>
      <c r="P91" s="7">
        <v>80.657696459999997</v>
      </c>
    </row>
    <row r="92" spans="1:16" x14ac:dyDescent="0.3">
      <c r="A92" s="1" t="s">
        <v>121</v>
      </c>
      <c r="B92" s="1" t="s">
        <v>126</v>
      </c>
      <c r="C92" s="7">
        <v>27.609000000000002</v>
      </c>
      <c r="D92" s="7">
        <v>20.43</v>
      </c>
      <c r="E92" s="1" t="s">
        <v>41</v>
      </c>
      <c r="F92" s="1">
        <v>27.56</v>
      </c>
      <c r="G92" s="1">
        <v>4</v>
      </c>
      <c r="H92" s="1">
        <v>210</v>
      </c>
      <c r="I92" s="1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3">
        <v>39491</v>
      </c>
      <c r="P92" s="7">
        <v>85.949744249999995</v>
      </c>
    </row>
    <row r="93" spans="1:16" x14ac:dyDescent="0.3">
      <c r="A93" s="1" t="s">
        <v>121</v>
      </c>
      <c r="B93" s="1" t="s">
        <v>127</v>
      </c>
      <c r="C93" s="7">
        <v>20.38</v>
      </c>
      <c r="D93" s="7">
        <v>14.795</v>
      </c>
      <c r="E93" s="1" t="s">
        <v>41</v>
      </c>
      <c r="F93" s="1">
        <v>22.51</v>
      </c>
      <c r="G93" s="1">
        <v>3.3</v>
      </c>
      <c r="H93" s="1">
        <v>170</v>
      </c>
      <c r="I93" s="1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3">
        <v>40106</v>
      </c>
      <c r="P93" s="7">
        <v>69.671460999999994</v>
      </c>
    </row>
    <row r="94" spans="1:16" x14ac:dyDescent="0.3">
      <c r="A94" s="1" t="s">
        <v>128</v>
      </c>
      <c r="B94" s="1" t="s">
        <v>129</v>
      </c>
      <c r="C94" s="7">
        <v>18.391999999999999</v>
      </c>
      <c r="D94" s="7">
        <v>26.05</v>
      </c>
      <c r="E94" s="1" t="s">
        <v>18</v>
      </c>
      <c r="F94" s="1">
        <v>31.75</v>
      </c>
      <c r="G94" s="1">
        <v>2.2999999999999998</v>
      </c>
      <c r="H94" s="1">
        <v>185</v>
      </c>
      <c r="I94" s="1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3">
        <v>40657</v>
      </c>
      <c r="P94" s="7">
        <v>78.280730879999993</v>
      </c>
    </row>
    <row r="95" spans="1:16" x14ac:dyDescent="0.3">
      <c r="A95" s="1" t="s">
        <v>128</v>
      </c>
      <c r="B95" s="1" t="s">
        <v>130</v>
      </c>
      <c r="C95" s="7">
        <v>27.602</v>
      </c>
      <c r="D95" s="7">
        <v>41.45</v>
      </c>
      <c r="E95" s="1" t="s">
        <v>18</v>
      </c>
      <c r="F95" s="1">
        <v>49.9</v>
      </c>
      <c r="G95" s="1">
        <v>3.2</v>
      </c>
      <c r="H95" s="1">
        <v>221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3">
        <v>40736</v>
      </c>
      <c r="P95" s="7">
        <v>98.249737499999995</v>
      </c>
    </row>
    <row r="96" spans="1:16" x14ac:dyDescent="0.3">
      <c r="A96" s="1" t="s">
        <v>128</v>
      </c>
      <c r="B96" s="1" t="s">
        <v>131</v>
      </c>
      <c r="C96" s="7">
        <v>16.774000000000001</v>
      </c>
      <c r="D96" s="7">
        <v>50.375</v>
      </c>
      <c r="E96" s="1" t="s">
        <v>18</v>
      </c>
      <c r="F96" s="1">
        <v>69.7</v>
      </c>
      <c r="G96" s="1">
        <v>4.3</v>
      </c>
      <c r="H96" s="1">
        <v>275</v>
      </c>
      <c r="I96" s="1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3">
        <v>40707</v>
      </c>
      <c r="P96" s="7">
        <v>125.2738757</v>
      </c>
    </row>
    <row r="97" spans="1:16" x14ac:dyDescent="0.3">
      <c r="A97" s="1" t="s">
        <v>128</v>
      </c>
      <c r="B97" s="1" t="s">
        <v>132</v>
      </c>
      <c r="C97" s="7">
        <v>3.3109999999999999</v>
      </c>
      <c r="D97" s="7">
        <v>58.6</v>
      </c>
      <c r="E97" s="1" t="s">
        <v>18</v>
      </c>
      <c r="F97" s="1">
        <v>82.6</v>
      </c>
      <c r="G97" s="1">
        <v>5</v>
      </c>
      <c r="H97" s="1">
        <v>302</v>
      </c>
      <c r="I97" s="1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3">
        <v>40619</v>
      </c>
      <c r="P97" s="7">
        <v>139.98229359999999</v>
      </c>
    </row>
    <row r="98" spans="1:16" x14ac:dyDescent="0.3">
      <c r="A98" s="1" t="s">
        <v>128</v>
      </c>
      <c r="B98" s="1" t="s">
        <v>133</v>
      </c>
      <c r="C98" s="7">
        <v>7.9980000000000002</v>
      </c>
      <c r="D98" s="7">
        <f>Car_sales_Cleaned!D91</f>
        <v>14.875</v>
      </c>
      <c r="E98" s="1" t="s">
        <v>18</v>
      </c>
      <c r="F98" s="1">
        <v>38.9</v>
      </c>
      <c r="G98" s="1">
        <v>2.2999999999999998</v>
      </c>
      <c r="H98" s="1">
        <v>190</v>
      </c>
      <c r="I98" s="1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3">
        <v>40559</v>
      </c>
      <c r="P98" s="7">
        <v>82.807361929999999</v>
      </c>
    </row>
    <row r="99" spans="1:16" x14ac:dyDescent="0.3">
      <c r="A99" s="1" t="s">
        <v>128</v>
      </c>
      <c r="B99" s="1" t="s">
        <v>134</v>
      </c>
      <c r="C99" s="7">
        <v>1.526</v>
      </c>
      <c r="D99" s="7">
        <f>Car_sales_Cleaned!D92</f>
        <v>20.43</v>
      </c>
      <c r="E99" s="1" t="s">
        <v>18</v>
      </c>
      <c r="F99" s="1">
        <v>41</v>
      </c>
      <c r="G99" s="1">
        <v>2.2999999999999998</v>
      </c>
      <c r="H99" s="1">
        <v>185</v>
      </c>
      <c r="I99" s="1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3">
        <v>40761</v>
      </c>
      <c r="P99" s="7">
        <v>81.848969240000002</v>
      </c>
    </row>
    <row r="100" spans="1:16" x14ac:dyDescent="0.3">
      <c r="A100" s="1" t="s">
        <v>128</v>
      </c>
      <c r="B100" s="1" t="s">
        <v>135</v>
      </c>
      <c r="C100" s="7">
        <v>11.592000000000001</v>
      </c>
      <c r="D100" s="7">
        <f>Car_sales_Cleaned!D93</f>
        <v>14.795</v>
      </c>
      <c r="E100" s="1" t="s">
        <v>18</v>
      </c>
      <c r="F100" s="1">
        <v>41.6</v>
      </c>
      <c r="G100" s="1">
        <v>3.2</v>
      </c>
      <c r="H100" s="1">
        <v>215</v>
      </c>
      <c r="I100" s="1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3">
        <v>40732</v>
      </c>
      <c r="P100" s="7">
        <v>92.925791770000004</v>
      </c>
    </row>
    <row r="101" spans="1:16" x14ac:dyDescent="0.3">
      <c r="A101" s="1" t="s">
        <v>128</v>
      </c>
      <c r="B101" s="1" t="s">
        <v>136</v>
      </c>
      <c r="C101" s="7">
        <v>0.95399999999999996</v>
      </c>
      <c r="D101" s="7">
        <f>Car_sales_Cleaned!D94</f>
        <v>26.05</v>
      </c>
      <c r="E101" s="1" t="s">
        <v>18</v>
      </c>
      <c r="F101" s="1">
        <v>85.5</v>
      </c>
      <c r="G101" s="1">
        <v>5</v>
      </c>
      <c r="H101" s="1">
        <v>302</v>
      </c>
      <c r="I101" s="1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3">
        <v>40644</v>
      </c>
      <c r="P101" s="7">
        <v>141.10098450000001</v>
      </c>
    </row>
    <row r="102" spans="1:16" x14ac:dyDescent="0.3">
      <c r="A102" s="1" t="s">
        <v>128</v>
      </c>
      <c r="B102" s="1" t="s">
        <v>137</v>
      </c>
      <c r="C102" s="7">
        <v>28.975999999999999</v>
      </c>
      <c r="D102" s="7">
        <f>Car_sales_Cleaned!D95</f>
        <v>41.45</v>
      </c>
      <c r="E102" s="1" t="s">
        <v>41</v>
      </c>
      <c r="F102" s="1">
        <v>35.299999999999997</v>
      </c>
      <c r="G102" s="1">
        <v>3.2</v>
      </c>
      <c r="H102" s="1">
        <v>215</v>
      </c>
      <c r="I102" s="1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3">
        <v>40584</v>
      </c>
      <c r="P102" s="7">
        <v>90.495532130000001</v>
      </c>
    </row>
    <row r="103" spans="1:16" x14ac:dyDescent="0.3">
      <c r="A103" s="1" t="s">
        <v>138</v>
      </c>
      <c r="B103" s="1" t="s">
        <v>139</v>
      </c>
      <c r="C103" s="7">
        <v>42.643000000000001</v>
      </c>
      <c r="D103" s="7">
        <v>8.4499999999999993</v>
      </c>
      <c r="E103" s="1" t="s">
        <v>18</v>
      </c>
      <c r="F103" s="1">
        <v>13.499000000000001</v>
      </c>
      <c r="G103" s="1">
        <v>1.8</v>
      </c>
      <c r="H103" s="1">
        <v>126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3">
        <v>40786</v>
      </c>
      <c r="P103" s="7">
        <v>50.241977910000003</v>
      </c>
    </row>
    <row r="104" spans="1:16" x14ac:dyDescent="0.3">
      <c r="A104" s="1" t="s">
        <v>138</v>
      </c>
      <c r="B104" s="1" t="s">
        <v>140</v>
      </c>
      <c r="C104" s="7">
        <v>88.093999999999994</v>
      </c>
      <c r="D104" s="7">
        <v>11.295</v>
      </c>
      <c r="E104" s="1" t="s">
        <v>18</v>
      </c>
      <c r="F104" s="1">
        <v>20.39</v>
      </c>
      <c r="G104" s="1">
        <v>2.4</v>
      </c>
      <c r="H104" s="1">
        <v>155</v>
      </c>
      <c r="I104" s="1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3">
        <v>40757</v>
      </c>
      <c r="P104" s="7">
        <v>63.313727829999998</v>
      </c>
    </row>
    <row r="105" spans="1:16" x14ac:dyDescent="0.3">
      <c r="A105" s="1" t="s">
        <v>138</v>
      </c>
      <c r="B105" s="1" t="s">
        <v>141</v>
      </c>
      <c r="C105" s="7">
        <v>79.852999999999994</v>
      </c>
      <c r="D105" s="7">
        <v>15.125</v>
      </c>
      <c r="E105" s="1" t="s">
        <v>18</v>
      </c>
      <c r="F105" s="1">
        <v>26.248999999999999</v>
      </c>
      <c r="G105" s="1">
        <v>3</v>
      </c>
      <c r="H105" s="1">
        <v>222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3">
        <v>40669</v>
      </c>
      <c r="P105" s="7">
        <v>89.427820310000001</v>
      </c>
    </row>
    <row r="106" spans="1:16" x14ac:dyDescent="0.3">
      <c r="A106" s="1" t="s">
        <v>138</v>
      </c>
      <c r="B106" s="1" t="s">
        <v>142</v>
      </c>
      <c r="C106" s="7">
        <v>27.308</v>
      </c>
      <c r="D106" s="7">
        <v>15.38</v>
      </c>
      <c r="E106" s="1" t="s">
        <v>41</v>
      </c>
      <c r="F106" s="1">
        <v>26.399000000000001</v>
      </c>
      <c r="G106" s="1">
        <v>3.3</v>
      </c>
      <c r="H106" s="1">
        <v>170</v>
      </c>
      <c r="I106" s="1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3">
        <v>40609</v>
      </c>
      <c r="P106" s="7">
        <v>71.171664129999996</v>
      </c>
    </row>
    <row r="107" spans="1:16" x14ac:dyDescent="0.3">
      <c r="A107" s="1" t="s">
        <v>138</v>
      </c>
      <c r="B107" s="1" t="s">
        <v>143</v>
      </c>
      <c r="C107" s="7">
        <v>42.573999999999998</v>
      </c>
      <c r="D107" s="7">
        <v>17.809999999999999</v>
      </c>
      <c r="E107" s="1" t="s">
        <v>41</v>
      </c>
      <c r="F107" s="1">
        <v>29.298999999999999</v>
      </c>
      <c r="G107" s="1">
        <v>3.3</v>
      </c>
      <c r="H107" s="1">
        <v>170</v>
      </c>
      <c r="I107" s="1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3">
        <v>40811</v>
      </c>
      <c r="P107" s="7">
        <v>72.290355079999998</v>
      </c>
    </row>
    <row r="108" spans="1:16" x14ac:dyDescent="0.3">
      <c r="A108" s="1" t="s">
        <v>138</v>
      </c>
      <c r="B108" s="1" t="s">
        <v>144</v>
      </c>
      <c r="C108" s="7">
        <v>54.158000000000001</v>
      </c>
      <c r="D108" s="7">
        <f>Car_sales_Cleaned!D101</f>
        <v>26.05</v>
      </c>
      <c r="E108" s="1" t="s">
        <v>41</v>
      </c>
      <c r="F108" s="1">
        <v>22.798999999999999</v>
      </c>
      <c r="G108" s="1">
        <v>3.3</v>
      </c>
      <c r="H108" s="1">
        <v>170</v>
      </c>
      <c r="I108" s="1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3">
        <v>40567</v>
      </c>
      <c r="P108" s="7">
        <v>69.78294434</v>
      </c>
    </row>
    <row r="109" spans="1:16" x14ac:dyDescent="0.3">
      <c r="A109" s="1" t="s">
        <v>138</v>
      </c>
      <c r="B109" s="1" t="s">
        <v>145</v>
      </c>
      <c r="C109" s="7">
        <v>65.004999999999995</v>
      </c>
      <c r="D109" s="7">
        <f>Car_sales_Cleaned!D102</f>
        <v>41.45</v>
      </c>
      <c r="E109" s="1" t="s">
        <v>41</v>
      </c>
      <c r="F109" s="1">
        <v>17.89</v>
      </c>
      <c r="G109" s="1">
        <v>3.3</v>
      </c>
      <c r="H109" s="1">
        <v>170</v>
      </c>
      <c r="I109" s="1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3">
        <v>40782</v>
      </c>
      <c r="P109" s="7">
        <v>67.889270589999995</v>
      </c>
    </row>
    <row r="110" spans="1:16" x14ac:dyDescent="0.3">
      <c r="A110" s="1" t="s">
        <v>146</v>
      </c>
      <c r="B110" s="1" t="s">
        <v>147</v>
      </c>
      <c r="C110" s="7">
        <v>1.1120000000000001</v>
      </c>
      <c r="D110" s="7">
        <v>11.24</v>
      </c>
      <c r="E110" s="1" t="s">
        <v>18</v>
      </c>
      <c r="F110" s="1">
        <v>18.145</v>
      </c>
      <c r="G110" s="1">
        <v>3.1</v>
      </c>
      <c r="H110" s="1">
        <v>150</v>
      </c>
      <c r="I110" s="1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3">
        <v>40694</v>
      </c>
      <c r="P110" s="7">
        <v>60.861611549999999</v>
      </c>
    </row>
    <row r="111" spans="1:16" x14ac:dyDescent="0.3">
      <c r="A111" s="1" t="s">
        <v>146</v>
      </c>
      <c r="B111" s="1" t="s">
        <v>148</v>
      </c>
      <c r="C111" s="7">
        <v>38.554000000000002</v>
      </c>
      <c r="D111" s="7">
        <f>Car_sales_Cleaned!D104</f>
        <v>11.295</v>
      </c>
      <c r="E111" s="1" t="s">
        <v>18</v>
      </c>
      <c r="F111" s="1">
        <v>24.15</v>
      </c>
      <c r="G111" s="1">
        <v>3.5</v>
      </c>
      <c r="H111" s="1">
        <v>215</v>
      </c>
      <c r="I111" s="1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N111" s="1">
        <f>24</f>
        <v>24</v>
      </c>
      <c r="O111" s="3">
        <v>40634</v>
      </c>
      <c r="P111" s="7">
        <v>86.272522910000006</v>
      </c>
    </row>
    <row r="112" spans="1:16" x14ac:dyDescent="0.3">
      <c r="A112" s="1" t="s">
        <v>146</v>
      </c>
      <c r="B112" s="1" t="s">
        <v>149</v>
      </c>
      <c r="C112" s="7">
        <v>80.254999999999995</v>
      </c>
      <c r="D112" s="7">
        <f>Car_sales_Cleaned!D105</f>
        <v>15.125</v>
      </c>
      <c r="E112" s="1" t="s">
        <v>18</v>
      </c>
      <c r="F112" s="1">
        <v>18.27</v>
      </c>
      <c r="G112" s="1">
        <v>2.4</v>
      </c>
      <c r="H112" s="1">
        <v>150</v>
      </c>
      <c r="I112" s="1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3">
        <v>40106</v>
      </c>
      <c r="P112" s="7">
        <v>60.727446929999999</v>
      </c>
    </row>
    <row r="113" spans="1:16" x14ac:dyDescent="0.3">
      <c r="A113" s="1" t="s">
        <v>146</v>
      </c>
      <c r="B113" s="1" t="s">
        <v>150</v>
      </c>
      <c r="C113" s="7">
        <v>14.69</v>
      </c>
      <c r="D113" s="7">
        <v>19.89</v>
      </c>
      <c r="E113" s="1" t="s">
        <v>18</v>
      </c>
      <c r="F113" s="1">
        <v>36.228999999999999</v>
      </c>
      <c r="G113" s="1">
        <v>4</v>
      </c>
      <c r="H113" s="1">
        <v>250</v>
      </c>
      <c r="I113" s="1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3">
        <v>40592</v>
      </c>
      <c r="P113" s="7">
        <v>103.4416926</v>
      </c>
    </row>
    <row r="114" spans="1:16" x14ac:dyDescent="0.3">
      <c r="A114" s="1" t="s">
        <v>146</v>
      </c>
      <c r="B114" s="1" t="s">
        <v>151</v>
      </c>
      <c r="C114" s="7">
        <v>20.016999999999999</v>
      </c>
      <c r="D114" s="7">
        <v>19.925000000000001</v>
      </c>
      <c r="E114" s="1" t="s">
        <v>41</v>
      </c>
      <c r="F114" s="1">
        <v>31.597999999999999</v>
      </c>
      <c r="G114" s="1">
        <v>4.3</v>
      </c>
      <c r="H114" s="1">
        <v>190</v>
      </c>
      <c r="I114" s="1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3">
        <v>40807</v>
      </c>
      <c r="P114" s="7">
        <v>80.511672590000003</v>
      </c>
    </row>
    <row r="115" spans="1:16" x14ac:dyDescent="0.3">
      <c r="A115" s="1" t="s">
        <v>146</v>
      </c>
      <c r="B115" s="1" t="s">
        <v>152</v>
      </c>
      <c r="C115" s="7">
        <v>24.361000000000001</v>
      </c>
      <c r="D115" s="7">
        <v>15.24</v>
      </c>
      <c r="E115" s="1" t="s">
        <v>41</v>
      </c>
      <c r="F115" s="1">
        <v>25.344999999999999</v>
      </c>
      <c r="G115" s="1">
        <v>3.4</v>
      </c>
      <c r="H115" s="1">
        <v>185</v>
      </c>
      <c r="I115" s="1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3">
        <v>40719</v>
      </c>
      <c r="P115" s="7">
        <v>76.096570420000006</v>
      </c>
    </row>
    <row r="116" spans="1:16" x14ac:dyDescent="0.3">
      <c r="A116" s="1" t="s">
        <v>153</v>
      </c>
      <c r="B116" s="1" t="s">
        <v>61</v>
      </c>
      <c r="C116" s="7">
        <v>32.734000000000002</v>
      </c>
      <c r="D116" s="7">
        <v>7.75</v>
      </c>
      <c r="E116" s="1" t="s">
        <v>18</v>
      </c>
      <c r="F116" s="1">
        <v>12.64</v>
      </c>
      <c r="G116" s="1">
        <v>2</v>
      </c>
      <c r="H116" s="1">
        <v>132</v>
      </c>
      <c r="I116" s="1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3">
        <v>40659</v>
      </c>
      <c r="P116" s="7">
        <v>52.084898750000001</v>
      </c>
    </row>
    <row r="117" spans="1:16" x14ac:dyDescent="0.3">
      <c r="A117" s="1" t="s">
        <v>153</v>
      </c>
      <c r="B117" s="1" t="s">
        <v>154</v>
      </c>
      <c r="C117" s="7">
        <v>5.24</v>
      </c>
      <c r="D117" s="7">
        <v>9.8000000000000007</v>
      </c>
      <c r="E117" s="1" t="s">
        <v>18</v>
      </c>
      <c r="F117" s="1">
        <v>16.079999999999998</v>
      </c>
      <c r="G117" s="1">
        <v>2</v>
      </c>
      <c r="H117" s="1">
        <v>132</v>
      </c>
      <c r="I117" s="1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3">
        <v>40861</v>
      </c>
      <c r="P117" s="7">
        <v>53.411897670000002</v>
      </c>
    </row>
    <row r="118" spans="1:16" x14ac:dyDescent="0.3">
      <c r="A118" s="1" t="s">
        <v>153</v>
      </c>
      <c r="B118" s="1" t="s">
        <v>155</v>
      </c>
      <c r="C118" s="7">
        <v>24.155000000000001</v>
      </c>
      <c r="D118" s="7">
        <v>12.025</v>
      </c>
      <c r="E118" s="1" t="s">
        <v>41</v>
      </c>
      <c r="F118" s="1">
        <v>18.850000000000001</v>
      </c>
      <c r="G118" s="1">
        <v>2.4</v>
      </c>
      <c r="H118" s="1">
        <v>150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3">
        <v>40657</v>
      </c>
      <c r="P118" s="7">
        <v>60.951185119999998</v>
      </c>
    </row>
    <row r="119" spans="1:16" x14ac:dyDescent="0.3">
      <c r="A119" s="1" t="s">
        <v>153</v>
      </c>
      <c r="B119" s="1" t="s">
        <v>156</v>
      </c>
      <c r="C119" s="7">
        <v>1.8720000000000001</v>
      </c>
      <c r="D119" s="7">
        <f>Car_sales_Cleaned!D112</f>
        <v>15.125</v>
      </c>
      <c r="E119" s="1" t="s">
        <v>18</v>
      </c>
      <c r="F119" s="1">
        <v>43</v>
      </c>
      <c r="G119" s="1">
        <v>3.5</v>
      </c>
      <c r="H119" s="1">
        <v>253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3">
        <v>41087</v>
      </c>
      <c r="P119" s="7">
        <v>106.98445630000001</v>
      </c>
    </row>
    <row r="120" spans="1:16" x14ac:dyDescent="0.3">
      <c r="A120" s="1" t="s">
        <v>157</v>
      </c>
      <c r="B120" s="1" t="s">
        <v>158</v>
      </c>
      <c r="C120" s="7">
        <v>51.645000000000003</v>
      </c>
      <c r="D120" s="7">
        <v>13.79</v>
      </c>
      <c r="E120" s="1" t="s">
        <v>18</v>
      </c>
      <c r="F120" s="1">
        <v>21.61</v>
      </c>
      <c r="G120" s="1">
        <v>2.4</v>
      </c>
      <c r="H120" s="1">
        <v>150</v>
      </c>
      <c r="I120" s="1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3">
        <v>40933</v>
      </c>
      <c r="P120" s="7">
        <v>62.015870300000003</v>
      </c>
    </row>
    <row r="121" spans="1:16" x14ac:dyDescent="0.3">
      <c r="A121" s="1" t="s">
        <v>157</v>
      </c>
      <c r="B121" s="1" t="s">
        <v>159</v>
      </c>
      <c r="C121" s="7">
        <v>131.09700000000001</v>
      </c>
      <c r="D121" s="7">
        <v>10.29</v>
      </c>
      <c r="E121" s="1" t="s">
        <v>18</v>
      </c>
      <c r="F121" s="1">
        <v>19.72</v>
      </c>
      <c r="G121" s="1">
        <v>3.4</v>
      </c>
      <c r="H121" s="1">
        <v>175</v>
      </c>
      <c r="I121" s="1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3">
        <v>41239</v>
      </c>
      <c r="P121" s="7">
        <v>70.389737260000004</v>
      </c>
    </row>
    <row r="122" spans="1:16" x14ac:dyDescent="0.3">
      <c r="A122" s="1" t="s">
        <v>157</v>
      </c>
      <c r="B122" s="1" t="s">
        <v>160</v>
      </c>
      <c r="C122" s="7">
        <v>19.911000000000001</v>
      </c>
      <c r="D122" s="7">
        <v>17.805</v>
      </c>
      <c r="E122" s="1" t="s">
        <v>18</v>
      </c>
      <c r="F122" s="1">
        <v>25.31</v>
      </c>
      <c r="G122" s="1">
        <v>3.8</v>
      </c>
      <c r="H122" s="1">
        <v>200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3">
        <v>41076</v>
      </c>
      <c r="P122" s="7">
        <v>81.492726160000004</v>
      </c>
    </row>
    <row r="123" spans="1:16" x14ac:dyDescent="0.3">
      <c r="A123" s="1" t="s">
        <v>157</v>
      </c>
      <c r="B123" s="1" t="s">
        <v>161</v>
      </c>
      <c r="C123" s="7">
        <v>92.364000000000004</v>
      </c>
      <c r="D123" s="7">
        <v>14.01</v>
      </c>
      <c r="E123" s="1" t="s">
        <v>18</v>
      </c>
      <c r="F123" s="1">
        <v>21.664999999999999</v>
      </c>
      <c r="G123" s="1">
        <v>3.8</v>
      </c>
      <c r="H123" s="1">
        <v>195</v>
      </c>
      <c r="I123" s="1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3">
        <v>41197</v>
      </c>
      <c r="P123" s="7">
        <v>78.318168130000004</v>
      </c>
    </row>
    <row r="124" spans="1:16" x14ac:dyDescent="0.3">
      <c r="A124" s="1" t="s">
        <v>157</v>
      </c>
      <c r="B124" s="1" t="s">
        <v>162</v>
      </c>
      <c r="C124" s="7">
        <v>35.945</v>
      </c>
      <c r="D124" s="7">
        <v>13.225</v>
      </c>
      <c r="E124" s="1" t="s">
        <v>18</v>
      </c>
      <c r="F124" s="1">
        <v>23.754999999999999</v>
      </c>
      <c r="G124" s="1">
        <v>3.8</v>
      </c>
      <c r="H124" s="1">
        <v>205</v>
      </c>
      <c r="I124" s="1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3">
        <v>40681</v>
      </c>
      <c r="P124" s="7">
        <v>82.661355599999993</v>
      </c>
    </row>
    <row r="125" spans="1:16" x14ac:dyDescent="0.3">
      <c r="A125" s="1" t="s">
        <v>157</v>
      </c>
      <c r="B125" s="1" t="s">
        <v>163</v>
      </c>
      <c r="C125" s="7">
        <v>39.572000000000003</v>
      </c>
      <c r="D125" s="7">
        <f>Car_sales_Cleaned!D118</f>
        <v>12.025</v>
      </c>
      <c r="E125" s="1" t="s">
        <v>41</v>
      </c>
      <c r="F125" s="1">
        <v>25.635000000000002</v>
      </c>
      <c r="G125" s="1">
        <v>3.4</v>
      </c>
      <c r="H125" s="1">
        <v>185</v>
      </c>
      <c r="I125" s="1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3">
        <v>41112</v>
      </c>
      <c r="P125" s="7">
        <v>76.208439519999999</v>
      </c>
    </row>
    <row r="126" spans="1:16" x14ac:dyDescent="0.3">
      <c r="A126" s="1" t="s">
        <v>164</v>
      </c>
      <c r="B126" s="1" t="s">
        <v>165</v>
      </c>
      <c r="C126" s="7">
        <v>8.9819999999999993</v>
      </c>
      <c r="D126" s="7">
        <v>41.25</v>
      </c>
      <c r="E126" s="1" t="s">
        <v>18</v>
      </c>
      <c r="F126" s="1">
        <v>41.43</v>
      </c>
      <c r="G126" s="1">
        <v>2.7</v>
      </c>
      <c r="H126" s="1">
        <v>217</v>
      </c>
      <c r="I126" s="1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3">
        <v>40958</v>
      </c>
      <c r="P126" s="7">
        <v>93.437330700000004</v>
      </c>
    </row>
    <row r="127" spans="1:16" x14ac:dyDescent="0.3">
      <c r="A127" s="1" t="s">
        <v>164</v>
      </c>
      <c r="B127" s="1" t="s">
        <v>166</v>
      </c>
      <c r="C127" s="7">
        <v>1.28</v>
      </c>
      <c r="D127" s="7">
        <v>60.625</v>
      </c>
      <c r="E127" s="1" t="s">
        <v>18</v>
      </c>
      <c r="F127" s="1">
        <v>71.02</v>
      </c>
      <c r="G127" s="1">
        <v>3.4</v>
      </c>
      <c r="H127" s="1">
        <v>300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3">
        <v>41264</v>
      </c>
      <c r="P127" s="7">
        <v>134.3909754</v>
      </c>
    </row>
    <row r="128" spans="1:16" x14ac:dyDescent="0.3">
      <c r="A128" s="1" t="s">
        <v>164</v>
      </c>
      <c r="B128" s="1" t="s">
        <v>167</v>
      </c>
      <c r="C128" s="7">
        <v>1.8660000000000001</v>
      </c>
      <c r="D128" s="7">
        <v>67.55</v>
      </c>
      <c r="E128" s="1" t="s">
        <v>18</v>
      </c>
      <c r="F128" s="1">
        <v>74.97</v>
      </c>
      <c r="G128" s="1">
        <v>3.4</v>
      </c>
      <c r="H128" s="1">
        <v>300</v>
      </c>
      <c r="I128" s="1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3">
        <v>40735</v>
      </c>
      <c r="P128" s="7">
        <v>135.91470960000001</v>
      </c>
    </row>
    <row r="129" spans="1:16" x14ac:dyDescent="0.3">
      <c r="A129" s="1" t="s">
        <v>168</v>
      </c>
      <c r="B129" s="4">
        <v>46270</v>
      </c>
      <c r="C129" s="7">
        <v>9.1910000000000007</v>
      </c>
      <c r="D129" s="7">
        <f>Car_sales_Cleaned!D122</f>
        <v>17.805</v>
      </c>
      <c r="E129" s="1" t="s">
        <v>18</v>
      </c>
      <c r="F129" s="1">
        <v>33.119999999999997</v>
      </c>
      <c r="G129" s="1">
        <v>2.2999999999999998</v>
      </c>
      <c r="H129" s="1">
        <v>170</v>
      </c>
      <c r="I129" s="1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3">
        <v>41222</v>
      </c>
      <c r="P129" s="7">
        <v>73.503778190000006</v>
      </c>
    </row>
    <row r="130" spans="1:16" x14ac:dyDescent="0.3">
      <c r="A130" s="1" t="s">
        <v>168</v>
      </c>
      <c r="B130" s="4">
        <v>46268</v>
      </c>
      <c r="C130" s="7">
        <v>12.115</v>
      </c>
      <c r="D130" s="7">
        <f>Car_sales_Cleaned!D123</f>
        <v>14.01</v>
      </c>
      <c r="E130" s="1" t="s">
        <v>18</v>
      </c>
      <c r="F130" s="1">
        <v>26.1</v>
      </c>
      <c r="G130" s="1">
        <v>2</v>
      </c>
      <c r="H130" s="1">
        <v>185</v>
      </c>
      <c r="I130" s="1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3">
        <v>40706</v>
      </c>
      <c r="P130" s="7">
        <v>76.02304771</v>
      </c>
    </row>
    <row r="131" spans="1:16" x14ac:dyDescent="0.3">
      <c r="A131" s="1" t="s">
        <v>169</v>
      </c>
      <c r="B131" s="1" t="s">
        <v>170</v>
      </c>
      <c r="C131" s="7">
        <v>80.62</v>
      </c>
      <c r="D131" s="7">
        <v>9.1999999999999993</v>
      </c>
      <c r="E131" s="1" t="s">
        <v>18</v>
      </c>
      <c r="F131" s="1">
        <v>10.685</v>
      </c>
      <c r="G131" s="1">
        <v>1.9</v>
      </c>
      <c r="H131" s="1">
        <v>100</v>
      </c>
      <c r="I131" s="1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3">
        <v>41137</v>
      </c>
      <c r="P131" s="7">
        <v>39.986424749999998</v>
      </c>
    </row>
    <row r="132" spans="1:16" x14ac:dyDescent="0.3">
      <c r="A132" s="1" t="s">
        <v>169</v>
      </c>
      <c r="B132" s="1" t="s">
        <v>171</v>
      </c>
      <c r="C132" s="7">
        <v>24.545999999999999</v>
      </c>
      <c r="D132" s="7">
        <v>10.59</v>
      </c>
      <c r="E132" s="1" t="s">
        <v>18</v>
      </c>
      <c r="F132" s="1">
        <v>12.535</v>
      </c>
      <c r="G132" s="1">
        <v>1.9</v>
      </c>
      <c r="H132" s="1">
        <v>100</v>
      </c>
      <c r="I132" s="1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3">
        <v>40618</v>
      </c>
      <c r="P132" s="7">
        <v>40.700072419999998</v>
      </c>
    </row>
    <row r="133" spans="1:16" x14ac:dyDescent="0.3">
      <c r="A133" s="1" t="s">
        <v>169</v>
      </c>
      <c r="B133" s="1" t="s">
        <v>172</v>
      </c>
      <c r="C133" s="7">
        <v>5.2229999999999999</v>
      </c>
      <c r="D133" s="7">
        <v>10.79</v>
      </c>
      <c r="E133" s="1" t="s">
        <v>18</v>
      </c>
      <c r="F133" s="1">
        <v>14.29</v>
      </c>
      <c r="G133" s="1">
        <v>1.9</v>
      </c>
      <c r="H133" s="1">
        <v>124</v>
      </c>
      <c r="I133" s="1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3">
        <v>40558</v>
      </c>
      <c r="P133" s="7">
        <v>49.865773670000003</v>
      </c>
    </row>
    <row r="134" spans="1:16" x14ac:dyDescent="0.3">
      <c r="A134" s="1" t="s">
        <v>169</v>
      </c>
      <c r="B134" s="1" t="s">
        <v>173</v>
      </c>
      <c r="C134" s="7">
        <v>8.4719999999999995</v>
      </c>
      <c r="D134" s="7">
        <f>Car_sales_Cleaned!D127</f>
        <v>60.625</v>
      </c>
      <c r="E134" s="1" t="s">
        <v>18</v>
      </c>
      <c r="F134" s="1">
        <v>18.835000000000001</v>
      </c>
      <c r="G134" s="1">
        <v>2.2000000000000002</v>
      </c>
      <c r="H134" s="1">
        <v>137</v>
      </c>
      <c r="I134" s="1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3">
        <v>40760</v>
      </c>
      <c r="P134" s="7">
        <v>56.295243040000003</v>
      </c>
    </row>
    <row r="135" spans="1:16" x14ac:dyDescent="0.3">
      <c r="A135" s="1" t="s">
        <v>169</v>
      </c>
      <c r="B135" s="1" t="s">
        <v>174</v>
      </c>
      <c r="C135" s="7">
        <v>49.988999999999997</v>
      </c>
      <c r="D135" s="7">
        <f>Car_sales_Cleaned!D128</f>
        <v>67.55</v>
      </c>
      <c r="E135" s="1" t="s">
        <v>18</v>
      </c>
      <c r="F135" s="1">
        <v>15.01</v>
      </c>
      <c r="G135" s="1">
        <v>2.2000000000000002</v>
      </c>
      <c r="H135" s="1">
        <v>137</v>
      </c>
      <c r="I135" s="1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3">
        <v>41247</v>
      </c>
      <c r="P135" s="7">
        <v>54.819728249999997</v>
      </c>
    </row>
    <row r="136" spans="1:16" x14ac:dyDescent="0.3">
      <c r="A136" s="1" t="s">
        <v>175</v>
      </c>
      <c r="B136" s="1" t="s">
        <v>176</v>
      </c>
      <c r="C136" s="7">
        <v>47.106999999999999</v>
      </c>
      <c r="D136" s="7">
        <f>Car_sales_Cleaned!D129</f>
        <v>17.805</v>
      </c>
      <c r="E136" s="1" t="s">
        <v>18</v>
      </c>
      <c r="F136" s="1">
        <v>22.695</v>
      </c>
      <c r="G136" s="1">
        <v>2.5</v>
      </c>
      <c r="H136" s="1">
        <v>165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3">
        <v>40731</v>
      </c>
      <c r="P136" s="7">
        <v>67.765907600000006</v>
      </c>
    </row>
    <row r="137" spans="1:16" x14ac:dyDescent="0.3">
      <c r="A137" s="1" t="s">
        <v>175</v>
      </c>
      <c r="B137" s="1" t="s">
        <v>177</v>
      </c>
      <c r="C137" s="7">
        <v>33.027999999999999</v>
      </c>
      <c r="D137" s="7">
        <f>Car_sales_Cleaned!D130</f>
        <v>14.01</v>
      </c>
      <c r="E137" s="1" t="s">
        <v>41</v>
      </c>
      <c r="F137" s="1">
        <v>20.094999999999999</v>
      </c>
      <c r="G137" s="1">
        <v>2.5</v>
      </c>
      <c r="H137" s="1">
        <v>165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3">
        <v>41162</v>
      </c>
      <c r="P137" s="7">
        <v>66.762943309999997</v>
      </c>
    </row>
    <row r="138" spans="1:16" x14ac:dyDescent="0.3">
      <c r="A138" s="1" t="s">
        <v>178</v>
      </c>
      <c r="B138" s="1" t="s">
        <v>179</v>
      </c>
      <c r="C138" s="7">
        <v>142.535</v>
      </c>
      <c r="D138" s="7">
        <v>10.025</v>
      </c>
      <c r="E138" s="1" t="s">
        <v>18</v>
      </c>
      <c r="F138" s="1">
        <v>13.108000000000001</v>
      </c>
      <c r="G138" s="1">
        <v>1.8</v>
      </c>
      <c r="H138" s="1">
        <v>120</v>
      </c>
      <c r="I138" s="1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3">
        <v>40644</v>
      </c>
      <c r="P138" s="7">
        <v>47.96897242</v>
      </c>
    </row>
    <row r="139" spans="1:16" x14ac:dyDescent="0.3">
      <c r="A139" s="1" t="s">
        <v>178</v>
      </c>
      <c r="B139" s="1" t="s">
        <v>180</v>
      </c>
      <c r="C139" s="7">
        <v>247.994</v>
      </c>
      <c r="D139" s="7">
        <v>13.244999999999999</v>
      </c>
      <c r="E139" s="1" t="s">
        <v>18</v>
      </c>
      <c r="F139" s="1">
        <v>17.518000000000001</v>
      </c>
      <c r="G139" s="1">
        <v>2.2000000000000002</v>
      </c>
      <c r="H139" s="1">
        <v>133</v>
      </c>
      <c r="I139" s="1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3">
        <v>40584</v>
      </c>
      <c r="P139" s="7">
        <v>54.372419649999998</v>
      </c>
    </row>
    <row r="140" spans="1:16" x14ac:dyDescent="0.3">
      <c r="A140" s="1" t="s">
        <v>178</v>
      </c>
      <c r="B140" s="1" t="s">
        <v>181</v>
      </c>
      <c r="C140" s="7">
        <v>63.848999999999997</v>
      </c>
      <c r="D140" s="7">
        <v>18.14</v>
      </c>
      <c r="E140" s="1" t="s">
        <v>18</v>
      </c>
      <c r="F140" s="1">
        <v>25.545000000000002</v>
      </c>
      <c r="G140" s="1">
        <v>3</v>
      </c>
      <c r="H140" s="1">
        <v>210</v>
      </c>
      <c r="I140" s="1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3">
        <v>40786</v>
      </c>
      <c r="P140" s="7">
        <v>84.911898260000001</v>
      </c>
    </row>
    <row r="141" spans="1:16" x14ac:dyDescent="0.3">
      <c r="A141" s="1" t="s">
        <v>178</v>
      </c>
      <c r="B141" s="1" t="s">
        <v>182</v>
      </c>
      <c r="C141" s="7">
        <v>33.268999999999998</v>
      </c>
      <c r="D141" s="7">
        <v>15.445</v>
      </c>
      <c r="E141" s="1" t="s">
        <v>18</v>
      </c>
      <c r="F141" s="1">
        <v>16.875</v>
      </c>
      <c r="G141" s="1">
        <v>1.8</v>
      </c>
      <c r="H141" s="1">
        <v>140</v>
      </c>
      <c r="I141" s="1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3">
        <v>41272</v>
      </c>
      <c r="P141" s="7">
        <v>56.496030339999997</v>
      </c>
    </row>
    <row r="142" spans="1:16" x14ac:dyDescent="0.3">
      <c r="A142" s="1" t="s">
        <v>178</v>
      </c>
      <c r="B142" s="1" t="s">
        <v>183</v>
      </c>
      <c r="C142" s="7">
        <v>84.087000000000003</v>
      </c>
      <c r="D142" s="7">
        <v>9.5749999999999993</v>
      </c>
      <c r="E142" s="1" t="s">
        <v>41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3">
        <v>40756</v>
      </c>
      <c r="P142" s="7">
        <v>55.297116580000001</v>
      </c>
    </row>
    <row r="143" spans="1:16" x14ac:dyDescent="0.3">
      <c r="A143" s="1" t="s">
        <v>178</v>
      </c>
      <c r="B143" s="1" t="s">
        <v>184</v>
      </c>
      <c r="C143" s="7">
        <v>65.119</v>
      </c>
      <c r="D143" s="7">
        <f>Car_sales_Cleaned!D136</f>
        <v>17.805</v>
      </c>
      <c r="E143" s="1" t="s">
        <v>41</v>
      </c>
      <c r="F143" s="1">
        <v>22.367999999999999</v>
      </c>
      <c r="G143" s="1">
        <v>3</v>
      </c>
      <c r="H143" s="1">
        <v>194</v>
      </c>
      <c r="I143" s="1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3">
        <v>41187</v>
      </c>
      <c r="P143" s="7">
        <v>78.027219470000006</v>
      </c>
    </row>
    <row r="144" spans="1:16" x14ac:dyDescent="0.3">
      <c r="A144" s="1" t="s">
        <v>178</v>
      </c>
      <c r="B144" s="1" t="s">
        <v>185</v>
      </c>
      <c r="C144" s="7">
        <v>25.106000000000002</v>
      </c>
      <c r="D144" s="7">
        <v>13.324999999999999</v>
      </c>
      <c r="E144" s="1" t="s">
        <v>41</v>
      </c>
      <c r="F144" s="1">
        <v>16.888000000000002</v>
      </c>
      <c r="G144" s="1">
        <v>2</v>
      </c>
      <c r="H144" s="1">
        <v>127</v>
      </c>
      <c r="I144" s="1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3">
        <v>40669</v>
      </c>
      <c r="P144" s="7">
        <v>51.955108869999997</v>
      </c>
    </row>
    <row r="145" spans="1:16" x14ac:dyDescent="0.3">
      <c r="A145" s="1" t="s">
        <v>178</v>
      </c>
      <c r="B145" s="1" t="s">
        <v>186</v>
      </c>
      <c r="C145" s="7">
        <v>68.411000000000001</v>
      </c>
      <c r="D145" s="7">
        <v>19.425000000000001</v>
      </c>
      <c r="E145" s="1" t="s">
        <v>41</v>
      </c>
      <c r="F145" s="1">
        <v>22.288</v>
      </c>
      <c r="G145" s="1">
        <v>2.7</v>
      </c>
      <c r="H145" s="1">
        <v>150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3">
        <v>40609</v>
      </c>
      <c r="P145" s="7">
        <v>62.35557713</v>
      </c>
    </row>
    <row r="146" spans="1:16" x14ac:dyDescent="0.3">
      <c r="A146" s="1" t="s">
        <v>178</v>
      </c>
      <c r="B146" s="1" t="s">
        <v>187</v>
      </c>
      <c r="C146" s="7">
        <v>9.8350000000000009</v>
      </c>
      <c r="D146" s="7">
        <v>34.08</v>
      </c>
      <c r="E146" s="1" t="s">
        <v>41</v>
      </c>
      <c r="F146" s="1">
        <v>51.728000000000002</v>
      </c>
      <c r="G146" s="1">
        <v>4.7</v>
      </c>
      <c r="H146" s="1">
        <v>230</v>
      </c>
      <c r="I146" s="1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3">
        <v>40811</v>
      </c>
      <c r="P146" s="7">
        <v>102.5289842</v>
      </c>
    </row>
    <row r="147" spans="1:16" x14ac:dyDescent="0.3">
      <c r="A147" s="1" t="s">
        <v>188</v>
      </c>
      <c r="B147" s="1" t="s">
        <v>189</v>
      </c>
      <c r="C147" s="7">
        <v>9.7609999999999992</v>
      </c>
      <c r="D147" s="7">
        <v>11.425000000000001</v>
      </c>
      <c r="E147" s="1" t="s">
        <v>18</v>
      </c>
      <c r="F147" s="1">
        <v>14.9</v>
      </c>
      <c r="G147" s="1">
        <v>2</v>
      </c>
      <c r="H147" s="1">
        <v>115</v>
      </c>
      <c r="I147" s="1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3">
        <v>40567</v>
      </c>
      <c r="P147" s="7">
        <v>46.943876760000002</v>
      </c>
    </row>
    <row r="148" spans="1:16" x14ac:dyDescent="0.3">
      <c r="A148" s="1" t="s">
        <v>188</v>
      </c>
      <c r="B148" s="1" t="s">
        <v>190</v>
      </c>
      <c r="C148" s="7">
        <v>83.721000000000004</v>
      </c>
      <c r="D148" s="7">
        <v>13.24</v>
      </c>
      <c r="E148" s="1" t="s">
        <v>18</v>
      </c>
      <c r="F148" s="1">
        <v>16.7</v>
      </c>
      <c r="G148" s="1">
        <v>2</v>
      </c>
      <c r="H148" s="1">
        <v>115</v>
      </c>
      <c r="I148" s="1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3">
        <v>40782</v>
      </c>
      <c r="P148" s="7">
        <v>47.638236659999997</v>
      </c>
    </row>
    <row r="149" spans="1:16" x14ac:dyDescent="0.3">
      <c r="A149" s="1" t="s">
        <v>188</v>
      </c>
      <c r="B149" s="1" t="s">
        <v>191</v>
      </c>
      <c r="C149" s="7">
        <v>51.101999999999997</v>
      </c>
      <c r="D149" s="7">
        <v>16.725000000000001</v>
      </c>
      <c r="E149" s="1" t="s">
        <v>18</v>
      </c>
      <c r="F149" s="1">
        <v>21.2</v>
      </c>
      <c r="G149" s="1">
        <v>1.8</v>
      </c>
      <c r="H149" s="1">
        <v>150</v>
      </c>
      <c r="I149" s="1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3">
        <v>41212</v>
      </c>
      <c r="P149" s="7">
        <v>61.701381359999999</v>
      </c>
    </row>
    <row r="150" spans="1:16" x14ac:dyDescent="0.3">
      <c r="A150" s="1" t="s">
        <v>188</v>
      </c>
      <c r="B150" s="1" t="s">
        <v>192</v>
      </c>
      <c r="C150" s="7">
        <v>9.5690000000000008</v>
      </c>
      <c r="D150" s="7">
        <v>16.574999999999999</v>
      </c>
      <c r="E150" s="1" t="s">
        <v>18</v>
      </c>
      <c r="F150" s="1">
        <v>19.989999999999998</v>
      </c>
      <c r="G150" s="1">
        <v>2</v>
      </c>
      <c r="H150" s="1">
        <v>115</v>
      </c>
      <c r="I150" s="1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3">
        <v>40694</v>
      </c>
      <c r="P150" s="7">
        <v>48.907372250000002</v>
      </c>
    </row>
    <row r="151" spans="1:16" x14ac:dyDescent="0.3">
      <c r="A151" s="1" t="s">
        <v>188</v>
      </c>
      <c r="B151" s="1" t="s">
        <v>193</v>
      </c>
      <c r="C151" s="7">
        <v>5.5960000000000001</v>
      </c>
      <c r="D151" s="7">
        <v>13.76</v>
      </c>
      <c r="E151" s="1" t="s">
        <v>18</v>
      </c>
      <c r="F151" s="1">
        <v>17.5</v>
      </c>
      <c r="G151" s="1">
        <v>2</v>
      </c>
      <c r="H151" s="1">
        <v>115</v>
      </c>
      <c r="I151" s="1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3">
        <v>40634</v>
      </c>
      <c r="P151" s="7">
        <v>47.946841059999997</v>
      </c>
    </row>
    <row r="152" spans="1:16" x14ac:dyDescent="0.3">
      <c r="A152" s="1" t="s">
        <v>188</v>
      </c>
      <c r="B152" s="1" t="s">
        <v>194</v>
      </c>
      <c r="C152" s="7">
        <v>49.463000000000001</v>
      </c>
      <c r="D152" s="7">
        <f>Car_sales_Cleaned!D145</f>
        <v>19.425000000000001</v>
      </c>
      <c r="E152" s="1" t="s">
        <v>18</v>
      </c>
      <c r="F152" s="1">
        <v>15.9</v>
      </c>
      <c r="G152" s="1">
        <v>2</v>
      </c>
      <c r="H152" s="1">
        <v>115</v>
      </c>
      <c r="I152" s="1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3">
        <v>40836</v>
      </c>
      <c r="P152" s="7">
        <v>47.329632259999997</v>
      </c>
    </row>
    <row r="153" spans="1:16" x14ac:dyDescent="0.3">
      <c r="A153" s="1" t="s">
        <v>195</v>
      </c>
      <c r="B153" s="1" t="s">
        <v>196</v>
      </c>
      <c r="C153" s="7">
        <v>16.957000000000001</v>
      </c>
      <c r="D153" s="7">
        <f>Car_sales_Cleaned!D146</f>
        <v>34.08</v>
      </c>
      <c r="E153" s="1" t="s">
        <v>18</v>
      </c>
      <c r="F153" s="1">
        <v>23.4</v>
      </c>
      <c r="G153" s="1">
        <v>1.9</v>
      </c>
      <c r="H153" s="1">
        <v>160</v>
      </c>
      <c r="I153" s="1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3">
        <v>40592</v>
      </c>
      <c r="P153" s="7">
        <v>66.113056799999995</v>
      </c>
    </row>
    <row r="154" spans="1:16" x14ac:dyDescent="0.3">
      <c r="A154" s="1" t="s">
        <v>195</v>
      </c>
      <c r="B154" s="1" t="s">
        <v>197</v>
      </c>
      <c r="C154" s="7">
        <v>3.5449999999999999</v>
      </c>
      <c r="D154" s="7">
        <f>Car_sales_Cleaned!D147</f>
        <v>11.425000000000001</v>
      </c>
      <c r="E154" s="1" t="s">
        <v>18</v>
      </c>
      <c r="F154" s="1">
        <v>24.4</v>
      </c>
      <c r="G154" s="1">
        <v>1.9</v>
      </c>
      <c r="H154" s="1">
        <v>160</v>
      </c>
      <c r="I154" s="1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3">
        <v>40807</v>
      </c>
      <c r="P154" s="7">
        <v>66.498812299999997</v>
      </c>
    </row>
    <row r="155" spans="1:16" x14ac:dyDescent="0.3">
      <c r="A155" s="1" t="s">
        <v>195</v>
      </c>
      <c r="B155" s="1" t="s">
        <v>198</v>
      </c>
      <c r="C155" s="7">
        <v>15.244999999999999</v>
      </c>
      <c r="D155" s="7">
        <f>Car_sales_Cleaned!D148</f>
        <v>13.24</v>
      </c>
      <c r="E155" s="1" t="s">
        <v>18</v>
      </c>
      <c r="F155" s="1">
        <v>27.5</v>
      </c>
      <c r="G155" s="1">
        <v>2.4</v>
      </c>
      <c r="H155" s="1">
        <v>168</v>
      </c>
      <c r="I155" s="1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3">
        <v>41237</v>
      </c>
      <c r="P155" s="7">
        <v>70.654495449999999</v>
      </c>
    </row>
    <row r="156" spans="1:16" x14ac:dyDescent="0.3">
      <c r="A156" s="1" t="s">
        <v>195</v>
      </c>
      <c r="B156" s="1" t="s">
        <v>199</v>
      </c>
      <c r="C156" s="7">
        <v>17.530999999999999</v>
      </c>
      <c r="D156" s="7">
        <f>Car_sales_Cleaned!D149</f>
        <v>16.725000000000001</v>
      </c>
      <c r="E156" s="1" t="s">
        <v>18</v>
      </c>
      <c r="F156" s="1">
        <v>28.8</v>
      </c>
      <c r="G156" s="1">
        <v>2.4</v>
      </c>
      <c r="H156" s="1">
        <v>168</v>
      </c>
      <c r="I156" s="1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3">
        <v>40719</v>
      </c>
      <c r="P156" s="7">
        <v>71.1559776</v>
      </c>
    </row>
    <row r="157" spans="1:16" x14ac:dyDescent="0.3">
      <c r="A157" s="1" t="s">
        <v>195</v>
      </c>
      <c r="B157" s="1" t="s">
        <v>200</v>
      </c>
      <c r="C157" s="7">
        <v>3.4929999999999999</v>
      </c>
      <c r="D157" s="7">
        <f>Car_sales_Cleaned!D150</f>
        <v>16.574999999999999</v>
      </c>
      <c r="E157" s="1" t="s">
        <v>18</v>
      </c>
      <c r="F157" s="1">
        <v>45.5</v>
      </c>
      <c r="G157" s="1">
        <v>2.2999999999999998</v>
      </c>
      <c r="H157" s="1">
        <v>236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3">
        <v>40659</v>
      </c>
      <c r="P157" s="7">
        <v>101.6233572</v>
      </c>
    </row>
    <row r="158" spans="1:16" x14ac:dyDescent="0.3">
      <c r="A158" s="1" t="s">
        <v>195</v>
      </c>
      <c r="B158" s="1" t="s">
        <v>201</v>
      </c>
      <c r="C158" s="7">
        <v>18.969000000000001</v>
      </c>
      <c r="D158" s="7">
        <f>Car_sales_Cleaned!D151</f>
        <v>13.76</v>
      </c>
      <c r="E158" s="1" t="s">
        <v>18</v>
      </c>
      <c r="F158" s="1">
        <v>36</v>
      </c>
      <c r="G158" s="1">
        <v>2.9</v>
      </c>
      <c r="H158" s="1">
        <v>201</v>
      </c>
      <c r="I158" s="1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3">
        <v>40861</v>
      </c>
      <c r="P158" s="7">
        <v>85.735654510000003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8E26-3889-401B-BA0C-7D8197D1B33B}">
  <dimension ref="A1:D17"/>
  <sheetViews>
    <sheetView workbookViewId="0">
      <selection activeCell="H13" sqref="H13"/>
    </sheetView>
  </sheetViews>
  <sheetFormatPr defaultRowHeight="14.4" x14ac:dyDescent="0.3"/>
  <cols>
    <col min="1" max="1" width="22.77734375" customWidth="1"/>
    <col min="2" max="2" width="13.6640625" style="1" customWidth="1"/>
    <col min="3" max="3" width="11.44140625" customWidth="1"/>
    <col min="4" max="4" width="13.33203125" customWidth="1"/>
  </cols>
  <sheetData>
    <row r="1" spans="1:4" ht="28.8" x14ac:dyDescent="0.3">
      <c r="A1" s="6" t="s">
        <v>204</v>
      </c>
      <c r="B1" s="6" t="s">
        <v>205</v>
      </c>
      <c r="C1" s="8" t="s">
        <v>207</v>
      </c>
      <c r="D1" s="8" t="s">
        <v>206</v>
      </c>
    </row>
    <row r="2" spans="1:4" x14ac:dyDescent="0.3">
      <c r="A2" s="10" t="s">
        <v>202</v>
      </c>
      <c r="B2" s="6">
        <v>36</v>
      </c>
      <c r="C2" s="11">
        <v>18.072975206611574</v>
      </c>
      <c r="D2" s="8">
        <v>14.18</v>
      </c>
    </row>
    <row r="3" spans="1:4" x14ac:dyDescent="0.3">
      <c r="A3" s="10" t="s">
        <v>5</v>
      </c>
      <c r="B3" s="6">
        <v>2</v>
      </c>
      <c r="C3" s="11">
        <v>27.390754838709661</v>
      </c>
      <c r="D3" s="11">
        <v>22.798999999999999</v>
      </c>
    </row>
    <row r="4" spans="1:4" x14ac:dyDescent="0.3">
      <c r="A4" s="10" t="s">
        <v>6</v>
      </c>
      <c r="B4" s="6">
        <v>1</v>
      </c>
      <c r="C4" s="11">
        <v>3.0608974358974339</v>
      </c>
      <c r="D4" s="8">
        <v>3</v>
      </c>
    </row>
    <row r="5" spans="1:4" x14ac:dyDescent="0.3">
      <c r="A5" s="10" t="s">
        <v>7</v>
      </c>
      <c r="B5" s="6">
        <v>1</v>
      </c>
      <c r="C5" s="11">
        <v>185.94871794871796</v>
      </c>
      <c r="D5" s="8">
        <v>177.5</v>
      </c>
    </row>
    <row r="6" spans="1:4" x14ac:dyDescent="0.3">
      <c r="A6" s="10" t="s">
        <v>8</v>
      </c>
      <c r="B6" s="6">
        <v>1</v>
      </c>
      <c r="C6" s="11">
        <v>107.48717948717949</v>
      </c>
      <c r="D6" s="8">
        <v>107</v>
      </c>
    </row>
    <row r="7" spans="1:4" x14ac:dyDescent="0.3">
      <c r="A7" s="10" t="s">
        <v>9</v>
      </c>
      <c r="B7" s="6">
        <v>1</v>
      </c>
      <c r="C7" s="8">
        <v>71.149999999999963</v>
      </c>
      <c r="D7" s="8">
        <v>70.55</v>
      </c>
    </row>
    <row r="8" spans="1:4" x14ac:dyDescent="0.3">
      <c r="A8" s="10" t="s">
        <v>10</v>
      </c>
      <c r="B8" s="6">
        <v>1</v>
      </c>
      <c r="C8" s="11">
        <v>187.34358974358977</v>
      </c>
      <c r="D8" s="8">
        <v>187.9</v>
      </c>
    </row>
    <row r="9" spans="1:4" x14ac:dyDescent="0.3">
      <c r="A9" s="10" t="s">
        <v>11</v>
      </c>
      <c r="B9" s="6">
        <v>2</v>
      </c>
      <c r="C9" s="11">
        <v>3.3780258064516131</v>
      </c>
      <c r="D9" s="8">
        <v>3.3420000000000001</v>
      </c>
    </row>
    <row r="10" spans="1:4" x14ac:dyDescent="0.3">
      <c r="A10" s="10" t="s">
        <v>12</v>
      </c>
      <c r="B10" s="6">
        <v>1</v>
      </c>
      <c r="C10" s="11">
        <v>17.951923076923084</v>
      </c>
      <c r="D10" s="8">
        <v>17.2</v>
      </c>
    </row>
    <row r="11" spans="1:4" x14ac:dyDescent="0.3">
      <c r="A11" s="10" t="s">
        <v>13</v>
      </c>
      <c r="B11" s="6">
        <v>3</v>
      </c>
      <c r="C11" s="11">
        <v>23.844155844155843</v>
      </c>
      <c r="D11" s="8">
        <v>24</v>
      </c>
    </row>
    <row r="12" spans="1:4" x14ac:dyDescent="0.3">
      <c r="A12" s="10" t="s">
        <v>14</v>
      </c>
      <c r="B12" s="6">
        <v>0</v>
      </c>
      <c r="C12" s="8">
        <v>0</v>
      </c>
      <c r="D12" s="8">
        <v>0</v>
      </c>
    </row>
    <row r="13" spans="1:4" x14ac:dyDescent="0.3">
      <c r="A13" s="10" t="s">
        <v>15</v>
      </c>
      <c r="B13" s="6">
        <v>2</v>
      </c>
      <c r="C13" s="11">
        <v>77.043591200774202</v>
      </c>
      <c r="D13" s="11">
        <v>72.030917189999997</v>
      </c>
    </row>
    <row r="15" spans="1:4" x14ac:dyDescent="0.3">
      <c r="A15" s="1"/>
    </row>
    <row r="16" spans="1:4" x14ac:dyDescent="0.3">
      <c r="A16" s="8" t="s">
        <v>203</v>
      </c>
      <c r="B16" s="8">
        <v>51</v>
      </c>
    </row>
    <row r="17" spans="1:1" x14ac:dyDescent="0.3">
      <c r="A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2201-A182-4027-8973-0C216E8DBB06}">
  <dimension ref="A2:W41"/>
  <sheetViews>
    <sheetView topLeftCell="Q43" workbookViewId="0">
      <selection activeCell="H42" sqref="H42"/>
    </sheetView>
  </sheetViews>
  <sheetFormatPr defaultRowHeight="14.4" x14ac:dyDescent="0.3"/>
  <cols>
    <col min="1" max="1" width="12.5546875" bestFit="1" customWidth="1"/>
    <col min="2" max="2" width="24.33203125" bestFit="1" customWidth="1"/>
    <col min="4" max="4" width="13.21875" customWidth="1"/>
    <col min="5" max="5" width="29.5546875" customWidth="1"/>
    <col min="6" max="6" width="30.21875" customWidth="1"/>
    <col min="7" max="7" width="14.6640625" customWidth="1"/>
    <col min="8" max="8" width="25" customWidth="1"/>
    <col min="9" max="9" width="27.44140625" bestFit="1" customWidth="1"/>
    <col min="10" max="10" width="12.5546875" bestFit="1" customWidth="1"/>
    <col min="11" max="11" width="26" customWidth="1"/>
    <col min="12" max="12" width="24.33203125" bestFit="1" customWidth="1"/>
    <col min="13" max="13" width="12.5546875" bestFit="1" customWidth="1"/>
    <col min="14" max="14" width="23.44140625" bestFit="1" customWidth="1"/>
    <col min="16" max="16" width="12.5546875" bestFit="1" customWidth="1"/>
    <col min="17" max="17" width="12.77734375" customWidth="1"/>
    <col min="18" max="18" width="11.6640625" customWidth="1"/>
    <col min="19" max="19" width="27.109375" customWidth="1"/>
    <col min="20" max="20" width="26.44140625" customWidth="1"/>
    <col min="21" max="21" width="17.6640625" customWidth="1"/>
    <col min="22" max="22" width="28.33203125" customWidth="1"/>
    <col min="23" max="23" width="18.6640625" hidden="1" customWidth="1"/>
  </cols>
  <sheetData>
    <row r="2" spans="1:23" x14ac:dyDescent="0.3">
      <c r="A2" t="s">
        <v>208</v>
      </c>
      <c r="B2">
        <f>ROWS(CarSales[Manufacturer])</f>
        <v>157</v>
      </c>
    </row>
    <row r="9" spans="1:23" x14ac:dyDescent="0.3">
      <c r="R9" s="18" t="s">
        <v>210</v>
      </c>
      <c r="S9" s="1" t="s">
        <v>212</v>
      </c>
    </row>
    <row r="10" spans="1:23" x14ac:dyDescent="0.3">
      <c r="A10" s="16" t="s">
        <v>210</v>
      </c>
      <c r="B10" s="15" t="s">
        <v>209</v>
      </c>
      <c r="D10" s="13" t="s">
        <v>210</v>
      </c>
      <c r="E10" t="s">
        <v>212</v>
      </c>
      <c r="G10" s="13" t="s">
        <v>210</v>
      </c>
      <c r="H10" t="s">
        <v>209</v>
      </c>
      <c r="J10" s="13" t="s">
        <v>210</v>
      </c>
      <c r="K10" s="1" t="s">
        <v>213</v>
      </c>
      <c r="M10" s="13" t="s">
        <v>210</v>
      </c>
      <c r="N10" s="1" t="s">
        <v>214</v>
      </c>
      <c r="R10" s="14" t="s">
        <v>16</v>
      </c>
      <c r="S10" s="7">
        <v>28.675000000000001</v>
      </c>
      <c r="W10" s="1"/>
    </row>
    <row r="11" spans="1:23" x14ac:dyDescent="0.3">
      <c r="A11" s="17" t="s">
        <v>72</v>
      </c>
      <c r="B11" s="15">
        <v>2022.635</v>
      </c>
      <c r="D11" s="14" t="s">
        <v>41</v>
      </c>
      <c r="E11" s="12">
        <v>26.23412195121951</v>
      </c>
      <c r="G11" s="14" t="s">
        <v>18</v>
      </c>
      <c r="H11">
        <v>5015.1840000000002</v>
      </c>
      <c r="J11" s="14" t="s">
        <v>16</v>
      </c>
      <c r="K11" s="7">
        <v>200</v>
      </c>
      <c r="M11" s="14" t="s">
        <v>169</v>
      </c>
      <c r="N11" s="7">
        <v>30.4</v>
      </c>
      <c r="R11" s="14" t="s">
        <v>22</v>
      </c>
      <c r="S11" s="7">
        <v>39.979999999999997</v>
      </c>
      <c r="W11" s="1"/>
    </row>
    <row r="12" spans="1:23" x14ac:dyDescent="0.3">
      <c r="A12" s="17" t="s">
        <v>60</v>
      </c>
      <c r="B12" s="15">
        <v>910.149</v>
      </c>
      <c r="D12" s="14" t="s">
        <v>18</v>
      </c>
      <c r="E12" s="12">
        <v>27.72041379310345</v>
      </c>
      <c r="G12" s="14" t="s">
        <v>41</v>
      </c>
      <c r="H12">
        <v>3305.5140000000001</v>
      </c>
      <c r="J12" s="14" t="s">
        <v>22</v>
      </c>
      <c r="K12" s="7">
        <v>220</v>
      </c>
      <c r="M12" s="14" t="s">
        <v>42</v>
      </c>
      <c r="N12" s="7">
        <v>28.444444444444443</v>
      </c>
      <c r="R12" s="14" t="s">
        <v>26</v>
      </c>
      <c r="S12" s="7">
        <v>33.096666666666671</v>
      </c>
      <c r="W12" s="1"/>
    </row>
    <row r="13" spans="1:23" x14ac:dyDescent="0.3">
      <c r="A13" s="17" t="s">
        <v>178</v>
      </c>
      <c r="B13" s="15">
        <v>740.20500000000004</v>
      </c>
      <c r="D13" s="14" t="s">
        <v>211</v>
      </c>
      <c r="E13" s="12">
        <v>27.332273885350322</v>
      </c>
      <c r="G13" s="14" t="s">
        <v>211</v>
      </c>
      <c r="H13">
        <v>8320.6980000000003</v>
      </c>
      <c r="J13" s="14" t="s">
        <v>26</v>
      </c>
      <c r="K13" s="7">
        <v>185.33333333333334</v>
      </c>
      <c r="M13" s="14" t="s">
        <v>90</v>
      </c>
      <c r="N13" s="7">
        <v>27.666666666666668</v>
      </c>
      <c r="R13" s="14" t="s">
        <v>30</v>
      </c>
      <c r="S13" s="7">
        <v>26.78125</v>
      </c>
      <c r="W13" s="1"/>
    </row>
    <row r="14" spans="1:23" x14ac:dyDescent="0.3">
      <c r="A14" s="17" t="s">
        <v>84</v>
      </c>
      <c r="B14" s="15">
        <v>592.67399999999998</v>
      </c>
      <c r="J14" s="14" t="s">
        <v>30</v>
      </c>
      <c r="K14" s="7">
        <v>206.25</v>
      </c>
      <c r="M14" s="14" t="s">
        <v>188</v>
      </c>
      <c r="N14" s="7">
        <v>26.166666666666668</v>
      </c>
      <c r="R14" s="14" t="s">
        <v>35</v>
      </c>
      <c r="S14" s="7">
        <v>40.254000000000005</v>
      </c>
      <c r="W14" s="1"/>
    </row>
    <row r="15" spans="1:23" x14ac:dyDescent="0.3">
      <c r="A15" s="17" t="s">
        <v>42</v>
      </c>
      <c r="B15" s="15">
        <v>554.36500000000001</v>
      </c>
      <c r="J15" s="14" t="s">
        <v>35</v>
      </c>
      <c r="K15" s="7">
        <v>256</v>
      </c>
      <c r="M15" s="14" t="s">
        <v>153</v>
      </c>
      <c r="N15" s="7">
        <v>25.25</v>
      </c>
      <c r="R15" s="14" t="s">
        <v>42</v>
      </c>
      <c r="S15" s="7">
        <v>20.02277777777778</v>
      </c>
      <c r="W15" s="1"/>
    </row>
    <row r="16" spans="1:23" x14ac:dyDescent="0.3">
      <c r="A16" s="17" t="s">
        <v>138</v>
      </c>
      <c r="B16" s="15">
        <v>399.63499999999999</v>
      </c>
      <c r="J16" s="14" t="s">
        <v>42</v>
      </c>
      <c r="K16" s="7">
        <v>171.11111111111111</v>
      </c>
      <c r="M16" s="14" t="s">
        <v>16</v>
      </c>
      <c r="N16" s="7">
        <v>25.25</v>
      </c>
      <c r="R16" s="14" t="s">
        <v>52</v>
      </c>
      <c r="S16" s="7">
        <v>23.340714285714284</v>
      </c>
      <c r="W16" s="1"/>
    </row>
    <row r="17" spans="1:23" x14ac:dyDescent="0.3">
      <c r="A17" s="17" t="s">
        <v>157</v>
      </c>
      <c r="B17" s="15">
        <v>370.53399999999999</v>
      </c>
      <c r="J17" s="14" t="s">
        <v>52</v>
      </c>
      <c r="K17" s="7">
        <v>192.35714285714286</v>
      </c>
      <c r="M17" s="14" t="s">
        <v>178</v>
      </c>
      <c r="N17" s="7">
        <v>25.222222222222221</v>
      </c>
      <c r="R17" s="14" t="s">
        <v>60</v>
      </c>
      <c r="S17" s="7">
        <v>24.213636363636365</v>
      </c>
      <c r="W17" s="1"/>
    </row>
    <row r="18" spans="1:23" x14ac:dyDescent="0.3">
      <c r="A18" s="17" t="s">
        <v>98</v>
      </c>
      <c r="B18" s="15">
        <v>293.15300000000002</v>
      </c>
      <c r="J18" s="14" t="s">
        <v>60</v>
      </c>
      <c r="K18" s="7">
        <v>199.54545454545453</v>
      </c>
      <c r="M18" s="14" t="s">
        <v>26</v>
      </c>
      <c r="N18" s="7">
        <v>25</v>
      </c>
      <c r="R18" s="14" t="s">
        <v>72</v>
      </c>
      <c r="S18" s="7">
        <v>21.047272727272727</v>
      </c>
      <c r="W18" s="1"/>
    </row>
    <row r="19" spans="1:23" x14ac:dyDescent="0.3">
      <c r="A19" s="17" t="s">
        <v>30</v>
      </c>
      <c r="B19" s="15">
        <v>242.01900000000001</v>
      </c>
      <c r="J19" s="14" t="s">
        <v>72</v>
      </c>
      <c r="K19" s="7">
        <v>170.09090909090909</v>
      </c>
      <c r="M19" s="14" t="s">
        <v>84</v>
      </c>
      <c r="N19" s="7">
        <v>25</v>
      </c>
      <c r="R19" s="14" t="s">
        <v>84</v>
      </c>
      <c r="S19" s="7">
        <v>20.277000000000001</v>
      </c>
      <c r="W19" s="1"/>
    </row>
    <row r="20" spans="1:23" x14ac:dyDescent="0.3">
      <c r="A20" s="17" t="s">
        <v>121</v>
      </c>
      <c r="B20" s="15">
        <v>237.999</v>
      </c>
      <c r="J20" s="14" t="s">
        <v>84</v>
      </c>
      <c r="K20" s="7">
        <v>160.4</v>
      </c>
      <c r="M20" s="14" t="s">
        <v>94</v>
      </c>
      <c r="N20" s="7">
        <v>25</v>
      </c>
      <c r="R20" s="14" t="s">
        <v>90</v>
      </c>
      <c r="S20" s="7">
        <v>12.165666666666667</v>
      </c>
      <c r="W20" s="1"/>
    </row>
    <row r="21" spans="1:23" x14ac:dyDescent="0.3">
      <c r="A21" s="17" t="s">
        <v>188</v>
      </c>
      <c r="B21" s="15">
        <v>209.21199999999999</v>
      </c>
      <c r="J21" s="14" t="s">
        <v>90</v>
      </c>
      <c r="K21" s="7">
        <v>126.66666666666667</v>
      </c>
      <c r="M21" s="14" t="s">
        <v>157</v>
      </c>
      <c r="N21" s="7">
        <v>24.833333333333332</v>
      </c>
      <c r="R21" s="14" t="s">
        <v>94</v>
      </c>
      <c r="S21" s="7">
        <v>29.465</v>
      </c>
      <c r="W21" s="1"/>
    </row>
    <row r="22" spans="1:23" x14ac:dyDescent="0.3">
      <c r="A22" s="17" t="s">
        <v>52</v>
      </c>
      <c r="B22" s="15">
        <v>201.721</v>
      </c>
      <c r="J22" s="14" t="s">
        <v>94</v>
      </c>
      <c r="K22" s="7">
        <v>227</v>
      </c>
      <c r="M22" s="14" t="s">
        <v>175</v>
      </c>
      <c r="N22" s="7">
        <v>24.5</v>
      </c>
      <c r="R22" s="14" t="s">
        <v>96</v>
      </c>
      <c r="S22" s="7">
        <v>42.8</v>
      </c>
      <c r="W22" s="1"/>
    </row>
    <row r="23" spans="1:23" x14ac:dyDescent="0.3">
      <c r="A23" s="17" t="s">
        <v>113</v>
      </c>
      <c r="B23" s="15">
        <v>180.89500000000001</v>
      </c>
      <c r="J23" s="14" t="s">
        <v>96</v>
      </c>
      <c r="K23" s="7">
        <v>240</v>
      </c>
      <c r="M23" s="14" t="s">
        <v>195</v>
      </c>
      <c r="N23" s="7">
        <v>24.5</v>
      </c>
      <c r="R23" s="14" t="s">
        <v>98</v>
      </c>
      <c r="S23" s="7">
        <v>20.991666666666667</v>
      </c>
      <c r="W23" s="1"/>
    </row>
    <row r="24" spans="1:23" x14ac:dyDescent="0.3">
      <c r="A24" s="17" t="s">
        <v>146</v>
      </c>
      <c r="B24" s="15">
        <v>178.989</v>
      </c>
      <c r="J24" s="14" t="s">
        <v>98</v>
      </c>
      <c r="K24" s="7">
        <v>168.33333333333334</v>
      </c>
      <c r="M24" s="14" t="s">
        <v>52</v>
      </c>
      <c r="N24" s="7">
        <v>24.428571428571427</v>
      </c>
      <c r="R24" s="14" t="s">
        <v>102</v>
      </c>
      <c r="S24" s="7">
        <v>44.055</v>
      </c>
      <c r="W24" s="1"/>
    </row>
    <row r="25" spans="1:23" x14ac:dyDescent="0.3">
      <c r="A25" s="17" t="s">
        <v>169</v>
      </c>
      <c r="B25" s="15">
        <v>168.85</v>
      </c>
      <c r="J25" s="14" t="s">
        <v>102</v>
      </c>
      <c r="K25" s="7">
        <v>245.83333333333334</v>
      </c>
      <c r="M25" s="14" t="s">
        <v>30</v>
      </c>
      <c r="N25" s="7">
        <v>24.25</v>
      </c>
      <c r="R25" s="14" t="s">
        <v>109</v>
      </c>
      <c r="S25" s="7">
        <v>41.69</v>
      </c>
      <c r="W25" s="1"/>
    </row>
    <row r="26" spans="1:23" x14ac:dyDescent="0.3">
      <c r="A26" s="17" t="s">
        <v>90</v>
      </c>
      <c r="B26" s="15">
        <v>137.32599999999999</v>
      </c>
      <c r="J26" s="14" t="s">
        <v>109</v>
      </c>
      <c r="K26" s="7">
        <v>263.33333333333331</v>
      </c>
      <c r="M26" s="14" t="s">
        <v>121</v>
      </c>
      <c r="N26" s="7">
        <v>23.666666666666668</v>
      </c>
      <c r="R26" s="14" t="s">
        <v>128</v>
      </c>
      <c r="S26" s="7">
        <v>52.916666666666664</v>
      </c>
      <c r="W26" s="1"/>
    </row>
    <row r="27" spans="1:23" x14ac:dyDescent="0.3">
      <c r="A27" s="17" t="s">
        <v>128</v>
      </c>
      <c r="B27" s="15">
        <v>117.125</v>
      </c>
      <c r="J27" s="14" t="s">
        <v>128</v>
      </c>
      <c r="K27" s="7">
        <v>232.22222222222223</v>
      </c>
      <c r="M27" s="14" t="s">
        <v>128</v>
      </c>
      <c r="N27" s="7">
        <v>23.444444444444443</v>
      </c>
      <c r="R27" s="14" t="s">
        <v>121</v>
      </c>
      <c r="S27" s="7">
        <v>20.748333333333331</v>
      </c>
      <c r="W27" s="1"/>
    </row>
    <row r="28" spans="1:23" x14ac:dyDescent="0.3">
      <c r="A28" s="17" t="s">
        <v>35</v>
      </c>
      <c r="B28" s="15">
        <v>112.178</v>
      </c>
      <c r="J28" s="14" t="s">
        <v>121</v>
      </c>
      <c r="K28" s="7">
        <v>163.83333333333334</v>
      </c>
      <c r="M28" s="14" t="s">
        <v>22</v>
      </c>
      <c r="N28" s="7">
        <v>23.333333333333332</v>
      </c>
      <c r="R28" s="14" t="s">
        <v>113</v>
      </c>
      <c r="S28" s="7">
        <v>22.167428571428569</v>
      </c>
      <c r="W28" s="1"/>
    </row>
    <row r="29" spans="1:23" x14ac:dyDescent="0.3">
      <c r="A29" s="17" t="s">
        <v>102</v>
      </c>
      <c r="B29" s="15">
        <v>106.843</v>
      </c>
      <c r="J29" s="14" t="s">
        <v>113</v>
      </c>
      <c r="K29" s="7">
        <v>165.14285714285714</v>
      </c>
      <c r="M29" s="14" t="s">
        <v>146</v>
      </c>
      <c r="N29" s="7">
        <v>23.166666666666668</v>
      </c>
      <c r="R29" s="14" t="s">
        <v>138</v>
      </c>
      <c r="S29" s="7">
        <v>22.360714285714288</v>
      </c>
      <c r="W29" s="1"/>
    </row>
    <row r="30" spans="1:23" x14ac:dyDescent="0.3">
      <c r="A30" s="17" t="s">
        <v>109</v>
      </c>
      <c r="B30" s="15">
        <v>85.634</v>
      </c>
      <c r="J30" s="14" t="s">
        <v>138</v>
      </c>
      <c r="K30" s="7">
        <v>169</v>
      </c>
      <c r="M30" s="14" t="s">
        <v>168</v>
      </c>
      <c r="N30" s="7">
        <v>23</v>
      </c>
      <c r="R30" s="14" t="s">
        <v>146</v>
      </c>
      <c r="S30" s="7">
        <v>25.622833333333332</v>
      </c>
      <c r="W30" s="1"/>
    </row>
    <row r="31" spans="1:23" x14ac:dyDescent="0.3">
      <c r="A31" s="17" t="s">
        <v>175</v>
      </c>
      <c r="B31" s="15">
        <v>80.135000000000005</v>
      </c>
      <c r="J31" s="14" t="s">
        <v>146</v>
      </c>
      <c r="K31" s="7">
        <v>190</v>
      </c>
      <c r="M31" s="14" t="s">
        <v>113</v>
      </c>
      <c r="N31" s="7">
        <v>22.857142857142858</v>
      </c>
      <c r="R31" s="14" t="s">
        <v>153</v>
      </c>
      <c r="S31" s="7">
        <v>22.642499999999998</v>
      </c>
      <c r="W31" s="1"/>
    </row>
    <row r="32" spans="1:23" x14ac:dyDescent="0.3">
      <c r="A32" s="17" t="s">
        <v>16</v>
      </c>
      <c r="B32" s="15">
        <v>79.004999999999995</v>
      </c>
      <c r="J32" s="14" t="s">
        <v>153</v>
      </c>
      <c r="K32" s="7">
        <v>166.75</v>
      </c>
      <c r="M32" s="14" t="s">
        <v>72</v>
      </c>
      <c r="N32" s="7">
        <v>22.818181818181817</v>
      </c>
      <c r="R32" s="14" t="s">
        <v>157</v>
      </c>
      <c r="S32" s="7">
        <v>22.949166666666667</v>
      </c>
      <c r="W32" s="1"/>
    </row>
    <row r="33" spans="1:23" x14ac:dyDescent="0.3">
      <c r="A33" s="17" t="s">
        <v>195</v>
      </c>
      <c r="B33" s="15">
        <v>75.739999999999995</v>
      </c>
      <c r="J33" s="14" t="s">
        <v>157</v>
      </c>
      <c r="K33" s="7">
        <v>185</v>
      </c>
      <c r="M33" s="14" t="s">
        <v>138</v>
      </c>
      <c r="N33" s="7">
        <v>22.285714285714285</v>
      </c>
      <c r="R33" s="14" t="s">
        <v>164</v>
      </c>
      <c r="S33" s="7">
        <v>62.473333333333329</v>
      </c>
      <c r="W33" s="1"/>
    </row>
    <row r="34" spans="1:23" x14ac:dyDescent="0.3">
      <c r="A34" s="17" t="s">
        <v>153</v>
      </c>
      <c r="B34" s="15">
        <v>64.001000000000005</v>
      </c>
      <c r="J34" s="14" t="s">
        <v>164</v>
      </c>
      <c r="K34" s="7">
        <v>272.33333333333331</v>
      </c>
      <c r="M34" s="14" t="s">
        <v>164</v>
      </c>
      <c r="N34" s="7">
        <v>22</v>
      </c>
      <c r="R34" s="14" t="s">
        <v>168</v>
      </c>
      <c r="S34" s="7">
        <v>29.61</v>
      </c>
      <c r="W34" s="1"/>
    </row>
    <row r="35" spans="1:23" x14ac:dyDescent="0.3">
      <c r="A35" s="17" t="s">
        <v>26</v>
      </c>
      <c r="B35" s="15">
        <v>46.505000000000003</v>
      </c>
      <c r="J35" s="14" t="s">
        <v>168</v>
      </c>
      <c r="K35" s="7">
        <v>177.5</v>
      </c>
      <c r="M35" s="14" t="s">
        <v>96</v>
      </c>
      <c r="N35" s="7">
        <v>21</v>
      </c>
      <c r="R35" s="14" t="s">
        <v>169</v>
      </c>
      <c r="S35" s="7">
        <v>14.271000000000001</v>
      </c>
      <c r="W35" s="1"/>
    </row>
    <row r="36" spans="1:23" x14ac:dyDescent="0.3">
      <c r="A36" s="17" t="s">
        <v>22</v>
      </c>
      <c r="B36" s="15">
        <v>40.557000000000002</v>
      </c>
      <c r="J36" s="14" t="s">
        <v>169</v>
      </c>
      <c r="K36" s="7">
        <v>119.6</v>
      </c>
      <c r="M36" s="14" t="s">
        <v>102</v>
      </c>
      <c r="N36" s="7">
        <v>20.833333333333332</v>
      </c>
      <c r="R36" s="14" t="s">
        <v>175</v>
      </c>
      <c r="S36" s="7">
        <v>21.395</v>
      </c>
      <c r="W36" s="1"/>
    </row>
    <row r="37" spans="1:23" x14ac:dyDescent="0.3">
      <c r="A37" s="17" t="s">
        <v>94</v>
      </c>
      <c r="B37" s="15">
        <v>23.713000000000001</v>
      </c>
      <c r="J37" s="14" t="s">
        <v>175</v>
      </c>
      <c r="K37" s="7">
        <v>165</v>
      </c>
      <c r="M37" s="14" t="s">
        <v>35</v>
      </c>
      <c r="N37" s="7">
        <v>20.6</v>
      </c>
      <c r="R37" s="14" t="s">
        <v>178</v>
      </c>
      <c r="S37" s="7">
        <v>21.98288888888889</v>
      </c>
      <c r="W37" s="1"/>
    </row>
    <row r="38" spans="1:23" x14ac:dyDescent="0.3">
      <c r="A38" s="17" t="s">
        <v>168</v>
      </c>
      <c r="B38" s="15">
        <v>21.306000000000001</v>
      </c>
      <c r="J38" s="14" t="s">
        <v>178</v>
      </c>
      <c r="K38" s="7">
        <v>160.66666666666666</v>
      </c>
      <c r="M38" s="14" t="s">
        <v>60</v>
      </c>
      <c r="N38" s="7">
        <v>20.454545454545453</v>
      </c>
      <c r="R38" s="14" t="s">
        <v>188</v>
      </c>
      <c r="S38" s="7">
        <v>17.698333333333334</v>
      </c>
      <c r="W38" s="1"/>
    </row>
    <row r="39" spans="1:23" x14ac:dyDescent="0.3">
      <c r="A39" s="17" t="s">
        <v>96</v>
      </c>
      <c r="B39" s="15">
        <v>15.467000000000001</v>
      </c>
      <c r="J39" s="14" t="s">
        <v>188</v>
      </c>
      <c r="K39" s="7">
        <v>120.83333333333333</v>
      </c>
      <c r="M39" s="14" t="s">
        <v>109</v>
      </c>
      <c r="N39" s="7">
        <v>19.333333333333332</v>
      </c>
      <c r="R39" s="14" t="s">
        <v>195</v>
      </c>
      <c r="S39" s="7">
        <v>30.933333333333334</v>
      </c>
      <c r="W39" s="1"/>
    </row>
    <row r="40" spans="1:23" x14ac:dyDescent="0.3">
      <c r="A40" s="17" t="s">
        <v>164</v>
      </c>
      <c r="B40" s="15">
        <v>12.128</v>
      </c>
      <c r="J40" s="14" t="s">
        <v>195</v>
      </c>
      <c r="K40" s="7">
        <v>182.16666666666666</v>
      </c>
      <c r="M40" s="14" t="s">
        <v>98</v>
      </c>
      <c r="N40" s="7">
        <v>18.666666666666668</v>
      </c>
      <c r="R40" s="14" t="s">
        <v>211</v>
      </c>
      <c r="S40" s="7">
        <v>27.332273885350322</v>
      </c>
      <c r="W40" s="1"/>
    </row>
    <row r="41" spans="1:23" x14ac:dyDescent="0.3">
      <c r="A41" s="17" t="s">
        <v>211</v>
      </c>
      <c r="B41" s="15">
        <v>8320.6980000000003</v>
      </c>
      <c r="J41" s="14" t="s">
        <v>211</v>
      </c>
      <c r="K41" s="7">
        <v>185.89490445859872</v>
      </c>
      <c r="M41" s="14" t="s">
        <v>211</v>
      </c>
      <c r="N41" s="7">
        <v>23.847133757961782</v>
      </c>
      <c r="W41" s="1"/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45C2-5CD6-44E8-859E-4829724E8F3B}">
  <dimension ref="B5:Y58"/>
  <sheetViews>
    <sheetView tabSelected="1" topLeftCell="C40" zoomScaleNormal="100" workbookViewId="0">
      <selection activeCell="AC31" sqref="AC31"/>
    </sheetView>
  </sheetViews>
  <sheetFormatPr defaultRowHeight="14.4" x14ac:dyDescent="0.3"/>
  <sheetData>
    <row r="5" spans="2:25" ht="14.4" customHeight="1" x14ac:dyDescent="0.3">
      <c r="B5" s="19" t="s">
        <v>215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2:25" ht="14.4" customHeight="1" x14ac:dyDescent="0.3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2:25" ht="14.4" customHeight="1" x14ac:dyDescent="0.3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2:25" ht="14.4" customHeight="1" x14ac:dyDescent="0.3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2:25" ht="14.4" customHeight="1" x14ac:dyDescent="0.3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2:25" x14ac:dyDescent="0.3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20" spans="2:25" x14ac:dyDescent="0.3">
      <c r="L20" s="20"/>
    </row>
    <row r="27" spans="2:25" x14ac:dyDescent="0.3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2:25" x14ac:dyDescent="0.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40" spans="2:25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2:25" x14ac:dyDescent="0.3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2:25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2:25" x14ac:dyDescent="0.3">
      <c r="T43" s="21"/>
    </row>
    <row r="44" spans="2:25" x14ac:dyDescent="0.3">
      <c r="T44" s="21"/>
    </row>
    <row r="45" spans="2:25" x14ac:dyDescent="0.3">
      <c r="T45" s="21"/>
    </row>
    <row r="46" spans="2:25" x14ac:dyDescent="0.3">
      <c r="T46" s="21"/>
    </row>
    <row r="47" spans="2:25" x14ac:dyDescent="0.3">
      <c r="T47" s="21"/>
    </row>
    <row r="48" spans="2:25" x14ac:dyDescent="0.3">
      <c r="T48" s="21"/>
    </row>
    <row r="49" spans="20:20" x14ac:dyDescent="0.3">
      <c r="T49" s="21"/>
    </row>
    <row r="50" spans="20:20" x14ac:dyDescent="0.3">
      <c r="T50" s="21"/>
    </row>
    <row r="51" spans="20:20" x14ac:dyDescent="0.3">
      <c r="T51" s="21"/>
    </row>
    <row r="52" spans="20:20" x14ac:dyDescent="0.3">
      <c r="T52" s="21"/>
    </row>
    <row r="53" spans="20:20" x14ac:dyDescent="0.3">
      <c r="T53" s="21"/>
    </row>
    <row r="54" spans="20:20" x14ac:dyDescent="0.3">
      <c r="T54" s="21"/>
    </row>
    <row r="55" spans="20:20" x14ac:dyDescent="0.3">
      <c r="T55" s="21"/>
    </row>
    <row r="56" spans="20:20" x14ac:dyDescent="0.3">
      <c r="T56" s="21"/>
    </row>
    <row r="57" spans="20:20" x14ac:dyDescent="0.3">
      <c r="T57" s="21"/>
    </row>
    <row r="58" spans="20:20" x14ac:dyDescent="0.3">
      <c r="T58" s="21"/>
    </row>
  </sheetData>
  <mergeCells count="5">
    <mergeCell ref="B5:Y9"/>
    <mergeCell ref="B10:Y10"/>
    <mergeCell ref="B40:Y42"/>
    <mergeCell ref="B27:Y28"/>
    <mergeCell ref="T43:T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Car_sales</vt:lpstr>
      <vt:lpstr>Car_sales_Cleaned</vt:lpstr>
      <vt:lpstr>Cleaning_Log</vt:lpstr>
      <vt:lpstr>EDA</vt:lpstr>
      <vt:lpstr>EDA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Dhoni Hansda</dc:creator>
  <cp:lastModifiedBy>DHONI HANSDA</cp:lastModifiedBy>
  <dcterms:created xsi:type="dcterms:W3CDTF">2026-07-02T07:11:42Z</dcterms:created>
  <dcterms:modified xsi:type="dcterms:W3CDTF">2026-08-06T10:06:35Z</dcterms:modified>
</cp:coreProperties>
</file>